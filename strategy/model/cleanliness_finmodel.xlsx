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Сводка" sheetId="2" state="visible" r:id="rId4"/>
    <sheet name="Допущения" sheetId="3" state="visible" r:id="rId5"/>
    <sheet name="Сценарии" sheetId="4" state="visible" r:id="rId6"/>
    <sheet name="Юнит-экономика" sheetId="5" state="visible" r:id="rId7"/>
    <sheet name="ОПиУ_Пессимист" sheetId="6" state="visible" r:id="rId8"/>
    <sheet name="ОПиУ_Реалист" sheetId="7" state="visible" r:id="rId9"/>
    <sheet name="ОПиУ_Оптимист" sheetId="8" state="visible" r:id="rId10"/>
  </sheets>
  <definedNames>
    <definedName function="false" hidden="false" name="acquiring" vbProcedure="false">Допущения!$B$11</definedName>
    <definedName function="false" hidden="false" name="aov_a" vbProcedure="false">'Юнит-экономика'!$B$5</definedName>
    <definedName function="false" hidden="false" name="aov_s" vbProcedure="false">'Юнит-экономика'!$B$67</definedName>
    <definedName function="false" hidden="false" name="b2b_direct" vbProcedure="false">'Юнит-экономика'!$B$81</definedName>
    <definedName function="false" hidden="false" name="b2b_direct_share" vbProcedure="false">Допущения!$B$45</definedName>
    <definedName function="false" hidden="false" name="b2b_fte" vbProcedure="false">Допущения!$B$63</definedName>
    <definedName function="false" hidden="false" name="b2b_value" vbProcedure="false">Допущения!$B$44</definedName>
    <definedName function="false" hidden="false" name="cac_max_a" vbProcedure="false">'Юнит-экономика'!$B$18</definedName>
    <definedName function="false" hidden="false" name="capex2_total" vbProcedure="false">Допущения!$D$117</definedName>
    <definedName function="false" hidden="false" name="capex_base" vbProcedure="false">Допущения!$D$111</definedName>
    <definedName function="false" hidden="false" name="cm_a" vbProcedure="false">'Юнит-экономика'!$B$15</definedName>
    <definedName function="false" hidden="false" name="cm_b" vbProcedure="false">'Юнит-экономика'!$B$33</definedName>
    <definedName function="false" hidden="false" name="cm_b2b" vbProcedure="false">'Юнит-экономика'!$B$83</definedName>
    <definedName function="false" hidden="false" name="cm_month_b" vbProcedure="false">'Юнит-экономика'!$B$36</definedName>
    <definedName function="false" hidden="false" name="cm_s" vbProcedure="false">'Юнит-экономика'!$B$77</definedName>
    <definedName function="false" hidden="false" name="cpl_max_a" vbProcedure="false">'Юнит-экономика'!$B$20</definedName>
    <definedName function="false" hidden="false" name="cur_baths" vbProcedure="false">Допущения!$B$48</definedName>
    <definedName function="false" hidden="false" name="cur_gen_base" vbProcedure="false">Допущения!$B$53</definedName>
    <definedName function="false" hidden="false" name="cur_gen_bath" vbProcedure="false">Допущения!$B$55</definedName>
    <definedName function="false" hidden="false" name="cur_gen_min" vbProcedure="false">Допущения!$B$56</definedName>
    <definedName function="false" hidden="false" name="cur_gen_room" vbProcedure="false">Допущения!$B$54</definedName>
    <definedName function="false" hidden="false" name="cur_maint_base" vbProcedure="false">Допущения!$B$49</definedName>
    <definedName function="false" hidden="false" name="cur_maint_bath" vbProcedure="false">Допущения!$B$51</definedName>
    <definedName function="false" hidden="false" name="cur_maint_min" vbProcedure="false">Допущения!$B$52</definedName>
    <definedName function="false" hidden="false" name="cur_maint_room" vbProcedure="false">Допущения!$B$50</definedName>
    <definedName function="false" hidden="false" name="cur_post_base" vbProcedure="false">Допущения!$B$57</definedName>
    <definedName function="false" hidden="false" name="cur_post_bath" vbProcedure="false">Допущения!$B$59</definedName>
    <definedName function="false" hidden="false" name="cur_post_min" vbProcedure="false">Допущения!$B$60</definedName>
    <definedName function="false" hidden="false" name="cur_post_room" vbProcedure="false">Допущения!$B$58</definedName>
    <definedName function="false" hidden="false" name="cur_rooms" vbProcedure="false">Допущения!$B$47</definedName>
    <definedName function="false" hidden="false" name="fix_base" vbProcedure="false">Допущения!$B$93</definedName>
    <definedName function="false" hidden="false" name="fix_rev_step" vbProcedure="false">Допущения!$B$95</definedName>
    <definedName function="false" hidden="false" name="fix_step_cost" vbProcedure="false">Допущения!$B$94</definedName>
    <definedName function="false" hidden="false" name="gm_a" vbProcedure="false">'Юнит-экономика'!$B$13</definedName>
    <definedName function="false" hidden="false" name="gm_b" vbProcedure="false">'Юнит-экономика'!$B$31</definedName>
    <definedName function="false" hidden="false" name="hours_per_fte" vbProcedure="false">Допущения!$B$62</definedName>
    <definedName function="false" hidden="false" name="labor_a" vbProcedure="false">'Юнит-экономика'!$B$6</definedName>
    <definedName function="false" hidden="false" name="labor_b" vbProcedure="false">'Юнит-экономика'!$B$24</definedName>
    <definedName function="false" hidden="false" name="lead_to_order_a" vbProcedure="false">Допущения!$B$67</definedName>
    <definedName function="false" hidden="false" name="ltv_cac_min" vbProcedure="false">Допущения!$B$65</definedName>
    <definedName function="false" hidden="false" name="max_gap_P" vbProcedure="false">Сводка!$B$15</definedName>
    <definedName function="false" hidden="false" name="max_gap_R" vbProcedure="false">Сводка!$C$15</definedName>
    <definedName function="false" hidden="false" name="payback_months_b" vbProcedure="false">Допущения!$B$66</definedName>
    <definedName function="false" hidden="false" name="prelaunch_total" vbProcedure="false">Допущения!$B$124</definedName>
    <definedName function="false" hidden="false" name="price_b" vbProcedure="false">'Юнит-экономика'!$B$23</definedName>
    <definedName function="false" hidden="false" name="price_m2_a" vbProcedure="false">'Юнит-экономика'!$B$4</definedName>
    <definedName function="false" hidden="false" name="reserve_safety" vbProcedure="false">Допущения!$B$125</definedName>
    <definedName function="false" hidden="false" name="rev_month_b" vbProcedure="false">'Юнит-экономика'!$B$35</definedName>
    <definedName function="false" hidden="false" name="sc_a_cap_O" vbProcedure="false">Сценарии!$D$7</definedName>
    <definedName function="false" hidden="false" name="sc_a_cap_P" vbProcedure="false">Сценарии!$B$7</definedName>
    <definedName function="false" hidden="false" name="sc_a_cap_R" vbProcedure="false">Сценарии!$C$7</definedName>
    <definedName function="false" hidden="false" name="sc_a_growth_O" vbProcedure="false">Сценарии!$D$6</definedName>
    <definedName function="false" hidden="false" name="sc_a_growth_P" vbProcedure="false">Сценарии!$B$6</definedName>
    <definedName function="false" hidden="false" name="sc_a_growth_R" vbProcedure="false">Сценарии!$C$6</definedName>
    <definedName function="false" hidden="false" name="sc_a_m6_O" vbProcedure="false">Сценарии!$D$5</definedName>
    <definedName function="false" hidden="false" name="sc_a_m6_P" vbProcedure="false">Сценарии!$B$5</definedName>
    <definedName function="false" hidden="false" name="sc_a_m6_R" vbProcedure="false">Сценарии!$C$5</definedName>
    <definedName function="false" hidden="false" name="sc_a_start_O" vbProcedure="false">Сценарии!$D$4</definedName>
    <definedName function="false" hidden="false" name="sc_a_start_P" vbProcedure="false">Сценарии!$B$4</definedName>
    <definedName function="false" hidden="false" name="sc_a_start_R" vbProcedure="false">Сценарии!$C$4</definedName>
    <definedName function="false" hidden="false" name="sc_b2b_max_O" vbProcedure="false">Сценарии!$D$15</definedName>
    <definedName function="false" hidden="false" name="sc_b2b_max_P" vbProcedure="false">Сценарии!$B$15</definedName>
    <definedName function="false" hidden="false" name="sc_b2b_max_R" vbProcedure="false">Сценарии!$C$15</definedName>
    <definedName function="false" hidden="false" name="sc_b2b_start_O" vbProcedure="false">Сценарии!$D$13</definedName>
    <definedName function="false" hidden="false" name="sc_b2b_start_P" vbProcedure="false">Сценарии!$B$13</definedName>
    <definedName function="false" hidden="false" name="sc_b2b_start_R" vbProcedure="false">Сценарии!$C$13</definedName>
    <definedName function="false" hidden="false" name="sc_b2b_step_O" vbProcedure="false">Сценарии!$D$14</definedName>
    <definedName function="false" hidden="false" name="sc_b2b_step_P" vbProcedure="false">Сценарии!$B$14</definedName>
    <definedName function="false" hidden="false" name="sc_b2b_step_R" vbProcedure="false">Сценарии!$C$14</definedName>
    <definedName function="false" hidden="false" name="sc_cac_a_O" vbProcedure="false">Сценарии!$D$16</definedName>
    <definedName function="false" hidden="false" name="sc_cac_a_P" vbProcedure="false">Сценарии!$B$16</definedName>
    <definedName function="false" hidden="false" name="sc_cac_a_R" vbProcedure="false">Сценарии!$C$16</definedName>
    <definedName function="false" hidden="false" name="sc_cac_b_O" vbProcedure="false">Сценарии!$D$17</definedName>
    <definedName function="false" hidden="false" name="sc_cac_b_P" vbProcedure="false">Сценарии!$B$17</definedName>
    <definedName function="false" hidden="false" name="sc_cac_b_R" vbProcedure="false">Сценарии!$C$17</definedName>
    <definedName function="false" hidden="false" name="sc_cac_s_O" vbProcedure="false">Сценарии!$D$18</definedName>
    <definedName function="false" hidden="false" name="sc_cac_s_P" vbProcedure="false">Сценарии!$B$18</definedName>
    <definedName function="false" hidden="false" name="sc_cac_s_R" vbProcedure="false">Сценарии!$C$18</definedName>
    <definedName function="false" hidden="false" name="sc_capex2_month_O" vbProcedure="false">Сценарии!$D$19</definedName>
    <definedName function="false" hidden="false" name="sc_capex2_month_P" vbProcedure="false">Сценарии!$B$19</definedName>
    <definedName function="false" hidden="false" name="sc_capex2_month_R" vbProcedure="false">Сценарии!$C$19</definedName>
    <definedName function="false" hidden="false" name="sc_churn_O" vbProcedure="false">Сценарии!$D$11</definedName>
    <definedName function="false" hidden="false" name="sc_churn_P" vbProcedure="false">Сценарии!$B$11</definedName>
    <definedName function="false" hidden="false" name="sc_churn_R" vbProcedure="false">Сценарии!$C$11</definedName>
    <definedName function="false" hidden="false" name="sc_spec_ratio_O" vbProcedure="false">Сценарии!$D$12</definedName>
    <definedName function="false" hidden="false" name="sc_spec_ratio_P" vbProcedure="false">Сценарии!$B$12</definedName>
    <definedName function="false" hidden="false" name="sc_spec_ratio_R" vbProcedure="false">Сценарии!$C$12</definedName>
    <definedName function="false" hidden="false" name="sc_s_growth_O" vbProcedure="false">Сценарии!$D$10</definedName>
    <definedName function="false" hidden="false" name="sc_s_growth_P" vbProcedure="false">Сценарии!$B$10</definedName>
    <definedName function="false" hidden="false" name="sc_s_growth_R" vbProcedure="false">Сценарии!$C$10</definedName>
    <definedName function="false" hidden="false" name="sc_s_m6_O" vbProcedure="false">Сценарии!$D$9</definedName>
    <definedName function="false" hidden="false" name="sc_s_m6_P" vbProcedure="false">Сценарии!$B$9</definedName>
    <definedName function="false" hidden="false" name="sc_s_m6_R" vbProcedure="false">Сценарии!$C$9</definedName>
    <definedName function="false" hidden="false" name="sc_s_start_O" vbProcedure="false">Сценарии!$D$8</definedName>
    <definedName function="false" hidden="false" name="sc_s_start_P" vbProcedure="false">Сценарии!$B$8</definedName>
    <definedName function="false" hidden="false" name="sc_s_start_R" vbProcedure="false">Сценарии!$C$8</definedName>
    <definedName function="false" hidden="false" name="season_tbl" vbProcedure="false">Допущения!$B$70:$B$81</definedName>
    <definedName function="false" hidden="false" name="start_capital_min" vbProcedure="false">Сводка!$B$26</definedName>
    <definedName function="false" hidden="false" name="start_capital_rec" vbProcedure="false">Сводка!$C$26</definedName>
    <definedName function="false" hidden="false" name="start_month" vbProcedure="false">Допущения!$B$6</definedName>
    <definedName function="false" hidden="false" name="start_year" vbProcedure="false">Допущения!$B$5</definedName>
    <definedName function="false" hidden="false" name="target_margin_a" vbProcedure="false">Допущения!$B$64</definedName>
    <definedName function="false" hidden="false" name="trial_to_sub" vbProcedure="false">Допущения!$B$68</definedName>
    <definedName function="false" hidden="false" name="UA_amort" vbProcedure="false">Допущения!$B$21</definedName>
    <definedName function="false" hidden="false" name="UA_area" vbProcedure="false">Допущения!$B$13</definedName>
    <definedName function="false" hidden="false" name="UA_chem" vbProcedure="false">Допущения!$B$20</definedName>
    <definedName function="false" hidden="false" name="UA_labor_share" vbProcedure="false">Допущения!$B$19</definedName>
    <definedName function="false" hidden="false" name="UA_logistics" vbProcedure="false">Допущения!$B$22</definedName>
    <definedName function="false" hidden="false" name="UA_man_hours" vbProcedure="false">Допущения!$B$18</definedName>
    <definedName function="false" hidden="false" name="UA_price_general_m2" vbProcedure="false">Допущения!$B$14</definedName>
    <definedName function="false" hidden="false" name="UA_price_repair_m2" vbProcedure="false">Допущения!$B$15</definedName>
    <definedName function="false" hidden="false" name="UA_quality_reserve" vbProcedure="false">Допущения!$B$23</definedName>
    <definedName function="false" hidden="false" name="UA_share_repair" vbProcedure="false">Допущения!$B$16</definedName>
    <definedName function="false" hidden="false" name="UA_upsell" vbProcedure="false">Допущения!$B$17</definedName>
    <definedName function="false" hidden="false" name="UB_amort" vbProcedure="false">Допущения!$B$31</definedName>
    <definedName function="false" hidden="false" name="UB_area" vbProcedure="false">Допущения!$B$25</definedName>
    <definedName function="false" hidden="false" name="UB_chem" vbProcedure="false">Допущения!$B$30</definedName>
    <definedName function="false" hidden="false" name="UB_hours" vbProcedure="false">Допущения!$B$28</definedName>
    <definedName function="false" hidden="false" name="UB_labor_share" vbProcedure="false">Допущения!$B$29</definedName>
    <definedName function="false" hidden="false" name="UB_logistics" vbProcedure="false">Допущения!$B$32</definedName>
    <definedName function="false" hidden="false" name="UB_price_single" vbProcedure="false">Допущения!$B$26</definedName>
    <definedName function="false" hidden="false" name="UB_quality_reserve" vbProcedure="false">Допущения!$B$33</definedName>
    <definedName function="false" hidden="false" name="UB_sub_discount" vbProcedure="false">Допущения!$B$27</definedName>
    <definedName function="false" hidden="false" name="UB_visits_per_month" vbProcedure="false">Допущения!$B$34</definedName>
    <definedName function="false" hidden="false" name="usn_rate" vbProcedure="false">Допущения!$B$8</definedName>
    <definedName function="false" hidden="false" name="US_amort" vbProcedure="false">Допущения!$B$40</definedName>
    <definedName function="false" hidden="false" name="US_aov" vbProcedure="false">Допущения!$B$36</definedName>
    <definedName function="false" hidden="false" name="US_chem" vbProcedure="false">Допущения!$B$39</definedName>
    <definedName function="false" hidden="false" name="US_labor_share" vbProcedure="false">Допущения!$B$38</definedName>
    <definedName function="false" hidden="false" name="US_logistics" vbProcedure="false">Допущения!$B$41</definedName>
    <definedName function="false" hidden="false" name="US_man_hours" vbProcedure="false">Допущения!$B$37</definedName>
    <definedName function="false" hidden="false" name="US_quality_reserve" vbProcedure="false">Допущения!$B$42</definedName>
    <definedName function="false" hidden="false" name="var_a" vbProcedure="false">'Юнит-экономика'!$B$12</definedName>
    <definedName function="false" hidden="false" name="var_b" vbProcedure="false">'Юнит-экономика'!$B$30</definedName>
    <definedName function="false" hidden="false" name="var_s" vbProcedure="false">'Юнит-экономика'!$B$74</definedName>
    <definedName function="false" hidden="false" name="vat_rate" vbProcedure="false">Допущения!$B$10</definedName>
    <definedName function="false" hidden="false" name="vat_threshold" vbProcedure="false">Допущения!$B$9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<sst xmlns="http://schemas.openxmlformats.org/spreadsheetml/2006/main" count="652" uniqueCount="399">
  <si>
    <t xml:space="preserve">Финансовая модель запуска «Точки Чистоты» (cleanliness.pro) в Тюмени</t>
  </si>
  <si>
    <t xml:space="preserve">Горизонт: 24 месяца, M1 = ноябрь 2026. Суммы в рублях.</t>
  </si>
  <si>
    <t xml:space="preserve">Как пользоваться:</t>
  </si>
  <si>
    <t xml:space="preserve">1. Меняйте только ячейки с СИНИМ шрифтом на листах «Допущения» и «Сценарии».</t>
  </si>
  <si>
    <t xml:space="preserve">   Жёлтая заливка — ключевые допущения, сильнее всего влияющие на результат.</t>
  </si>
  <si>
    <t xml:space="preserve">2. Листы «Юнит-экономика», «ОПиУ_*» и «Сводка» считаются формулами автоматически.</t>
  </si>
  <si>
    <t xml:space="preserve">3. Сценарии отличаются только объёмами, оттоком и CAC (лист «Сценарии»); цены и затраты на заказ общие.</t>
  </si>
  <si>
    <t xml:space="preserve">4. Модель считается на РЕКОМЕНДУЕМОМ прайсе. Прежний прайс сайта (сиды до обновления) — для сравнения на листе «Юнит-экономика».</t>
  </si>
  <si>
    <t xml:space="preserve">Цветовая легенда:</t>
  </si>
  <si>
    <t xml:space="preserve">   синий шрифт — ввод; чёрный — формула; зелёный — ссылка на другой лист; жёлтая заливка — ключевое допущение.</t>
  </si>
  <si>
    <t xml:space="preserve">Логика ОПиУ (по месяцам):</t>
  </si>
  <si>
    <t xml:space="preserve">   Выручка = заказы A × чек A + визиты B × цена визита + спецуслуги × чек S + B2B-договоры × сумма договора</t>
  </si>
  <si>
    <t xml:space="preserve">   Операционная прибыль = Выручка − НДС − переменные затраты − маркетинг (CAC) − FIX − УСН</t>
  </si>
  <si>
    <t xml:space="preserve">   FIX растёт ступенькой: + «доп. накладные» на каждые «ступень выручки» в месяц.</t>
  </si>
  <si>
    <t xml:space="preserve">   НДС 5% включается, если выручка прошлого года &gt; 20 млн ₽ или накопленная выручка текущего года превысила 20 млн ₽.</t>
  </si>
  <si>
    <t xml:space="preserve">   Подписчики: активные(m) = активные(m−1) × (1 − отток) + новые(m).</t>
  </si>
  <si>
    <t xml:space="preserve">Ограничения: модель не учитывает вознаграждение собственника, дебиторку B2B (отсрочка 15–30 дней —</t>
  </si>
  <si>
    <t xml:space="preserve">закрывается резервом), инфляцию цен и ФОТ. Цифры рынка — ориентиры по открытым источникам (см. «Допущения»).</t>
  </si>
  <si>
    <t xml:space="preserve">Источник цифр: strategy/model/assumptions.py. Сборка: python3 strategy/model/build_finmodel.py</t>
  </si>
  <si>
    <t xml:space="preserve">Сводка по сценариям</t>
  </si>
  <si>
    <t xml:space="preserve">Показатель</t>
  </si>
  <si>
    <t xml:space="preserve">Пессимистичный</t>
  </si>
  <si>
    <t xml:space="preserve">Реалистичный</t>
  </si>
  <si>
    <t xml:space="preserve">Оптимистичный</t>
  </si>
  <si>
    <t xml:space="preserve">Комментарий</t>
  </si>
  <si>
    <t xml:space="preserve">Выручка за первые 12 мес</t>
  </si>
  <si>
    <t xml:space="preserve">Выручка за 24 мес</t>
  </si>
  <si>
    <t xml:space="preserve">Выручка в M12 (окт 2027)</t>
  </si>
  <si>
    <t xml:space="preserve">Выручка в M24 (окт 2028)</t>
  </si>
  <si>
    <t xml:space="preserve">Операционная прибыль за 12 мес</t>
  </si>
  <si>
    <t xml:space="preserve">Операционная прибыль за 24 мес</t>
  </si>
  <si>
    <t xml:space="preserve">Операционная прибыль в M12</t>
  </si>
  <si>
    <t xml:space="preserve">Операционная прибыль в M24</t>
  </si>
  <si>
    <t xml:space="preserve">Рентабельность за 24 мес</t>
  </si>
  <si>
    <t xml:space="preserve">Месяц устойчивой безубыточности</t>
  </si>
  <si>
    <t xml:space="preserve">Первый месяц, начиная с которого нет убыточных месяцев</t>
  </si>
  <si>
    <t xml:space="preserve">Срок окупаемости вложений, мес</t>
  </si>
  <si>
    <t xml:space="preserve">Накопленный ДП с учётом CAPEX и предзапуска ≥ 0</t>
  </si>
  <si>
    <t xml:space="preserve">Максимальный кассовый разрыв (операционный)</t>
  </si>
  <si>
    <t xml:space="preserve">Без стартовых вложений; включает CAPEX 2-го этапа</t>
  </si>
  <si>
    <t xml:space="preserve">Минимум накопленного ДП (с вложениями)</t>
  </si>
  <si>
    <t xml:space="preserve">Пиковая потребность в деньгах</t>
  </si>
  <si>
    <t xml:space="preserve">Первый месяц с НДС 5%</t>
  </si>
  <si>
    <t xml:space="preserve">Порог 20 млн ₽ выручки в календарный год</t>
  </si>
  <si>
    <t xml:space="preserve">Активные подписчики в M24</t>
  </si>
  <si>
    <t xml:space="preserve">Клинеров (FTE) в M12</t>
  </si>
  <si>
    <t xml:space="preserve">Клинеров (FTE) в M24</t>
  </si>
  <si>
    <t xml:space="preserve">Стартовый капитал</t>
  </si>
  <si>
    <t xml:space="preserve">Минимальный</t>
  </si>
  <si>
    <t xml:space="preserve">Рекомендуемый</t>
  </si>
  <si>
    <t xml:space="preserve">CAPEX: оборудование, брендинг, сайт</t>
  </si>
  <si>
    <t xml:space="preserve">Лист «Допущения»</t>
  </si>
  <si>
    <t xml:space="preserve">Предзапуск: рекрутинг, стажировка, юрист, стартовое продвижение</t>
  </si>
  <si>
    <t xml:space="preserve">Резерв на кассовый разрыв</t>
  </si>
  <si>
    <t xml:space="preserve">Мин. — по реалистичному, рекоменд. — по пессимистичному сценарию × запас</t>
  </si>
  <si>
    <t xml:space="preserve">ИТОГО порог входа</t>
  </si>
  <si>
    <t xml:space="preserve">Точка безубыточности (FIX базовый)</t>
  </si>
  <si>
    <t xml:space="preserve">FIX базовый, ₽/мес</t>
  </si>
  <si>
    <t xml:space="preserve">Маржинальный доход заказа A после CAC</t>
  </si>
  <si>
    <t xml:space="preserve">Только заказы A, шт/мес</t>
  </si>
  <si>
    <t xml:space="preserve">Если весь доход — от генеральных/после ремонта</t>
  </si>
  <si>
    <t xml:space="preserve">… в день</t>
  </si>
  <si>
    <t xml:space="preserve">Только подписка: визитов в месяц</t>
  </si>
  <si>
    <t xml:space="preserve">CAC подписчика окупается за 1–2 мес, здесь не учтён</t>
  </si>
  <si>
    <t xml:space="preserve">… это активных подписчиков</t>
  </si>
  <si>
    <t xml:space="preserve">Микс: при 30 активных подписчиках нужно заказов A</t>
  </si>
  <si>
    <t xml:space="preserve">Подписка закрывает половину FIX, остальное — заказы A</t>
  </si>
  <si>
    <t xml:space="preserve">Допущения модели</t>
  </si>
  <si>
    <t xml:space="preserve">Параметр</t>
  </si>
  <si>
    <t xml:space="preserve">Значение</t>
  </si>
  <si>
    <t xml:space="preserve">Ед.</t>
  </si>
  <si>
    <t xml:space="preserve">Источник / комментарий</t>
  </si>
  <si>
    <t xml:space="preserve">Календарь</t>
  </si>
  <si>
    <t xml:space="preserve">Год начала (M1)</t>
  </si>
  <si>
    <t xml:space="preserve">год</t>
  </si>
  <si>
    <t xml:space="preserve">M1 = ноябрь 2026</t>
  </si>
  <si>
    <t xml:space="preserve">Месяц начала (M1)</t>
  </si>
  <si>
    <t xml:space="preserve">мес</t>
  </si>
  <si>
    <t xml:space="preserve">Налоги и платежи</t>
  </si>
  <si>
    <t xml:space="preserve">Ставка УСН «доходы»</t>
  </si>
  <si>
    <t xml:space="preserve">%</t>
  </si>
  <si>
    <t xml:space="preserve">УСН «доходы» 6% (без уменьшения на взносы — консервативно)</t>
  </si>
  <si>
    <t xml:space="preserve">Порог освобождения от НДС</t>
  </si>
  <si>
    <t xml:space="preserve">₽/год</t>
  </si>
  <si>
    <t xml:space="preserve">Порог освобождения от НДС на УСН 2026–2028: 20 млн ₽ (закон от 04.07.2026 № 228-ФЗ, см. moysklad.ru/news/porog-dokhoda-dlya-nds-na-usn)</t>
  </si>
  <si>
    <t xml:space="preserve">Ставка НДС для УСН сверх порога</t>
  </si>
  <si>
    <t xml:space="preserve">Пониженная ставка НДС для УСН при превышении порога: 5% (выделяется из цены)</t>
  </si>
  <si>
    <t xml:space="preserve">Эквайринг / СБП</t>
  </si>
  <si>
    <t xml:space="preserve">% чека</t>
  </si>
  <si>
    <t xml:space="preserve">Эквайринг/СБП средневзвешенно: СБП ~0,4–0,7%, карты ~2–2,5%</t>
  </si>
  <si>
    <t xml:space="preserve">Юнит A — генеральная / после ремонта</t>
  </si>
  <si>
    <t xml:space="preserve">Площадь типового объекта</t>
  </si>
  <si>
    <t xml:space="preserve">м²</t>
  </si>
  <si>
    <t xml:space="preserve">Типовой объект: 2-комн. (евро-3) в новостройке Тюмени, м²</t>
  </si>
  <si>
    <t xml:space="preserve">Цена генеральной</t>
  </si>
  <si>
    <t xml:space="preserve">₽/м²</t>
  </si>
  <si>
    <t xml:space="preserve">Генеральная, ₽/м². Рынок Тюмени: от 170 ₽/м² (KP.ru, рейтинг клининга Тюмени 2026)</t>
  </si>
  <si>
    <t xml:space="preserve">Цена уборки после ремонта</t>
  </si>
  <si>
    <t xml:space="preserve">После ремонта, ₽/м². Рынок Тюмени: от 190 ₽/м² (KP.ru); средний рынок 200–300 ₽/м²</t>
  </si>
  <si>
    <t xml:space="preserve">Доля «после ремонта» в типе A</t>
  </si>
  <si>
    <t xml:space="preserve">Доля заказов «после ремонта» в типе A</t>
  </si>
  <si>
    <t xml:space="preserve">Средний допчек</t>
  </si>
  <si>
    <t xml:space="preserve">₽</t>
  </si>
  <si>
    <t xml:space="preserve">Средний допчек: окна/балкон, духовка/холодильник внутри, люстры</t>
  </si>
  <si>
    <t xml:space="preserve">Трудоёмкость заказа</t>
  </si>
  <si>
    <t xml:space="preserve">чел-ч</t>
  </si>
  <si>
    <t xml:space="preserve">Трудоёмкость: генеральная ~12 чел-ч, после ремонта ~16 чел-ч (бригада из 2 чел.)</t>
  </si>
  <si>
    <t xml:space="preserve">Оплата клинеров</t>
  </si>
  <si>
    <t xml:space="preserve">Оплата клинеров, % от чека (сдельно, самозанятые/ГПХ)</t>
  </si>
  <si>
    <t xml:space="preserve">Химия и расходники</t>
  </si>
  <si>
    <t xml:space="preserve">₽/заказ</t>
  </si>
  <si>
    <t xml:space="preserve">Химия + расходники на выезд (пады, мешки, салфетки), ₽</t>
  </si>
  <si>
    <t xml:space="preserve">Амортизация оборудования</t>
  </si>
  <si>
    <t xml:space="preserve">Амортизация оборудования на заказ, ₽</t>
  </si>
  <si>
    <t xml:space="preserve">Логистика</t>
  </si>
  <si>
    <t xml:space="preserve">Такси туда-обратно для бригады с инвентарём / компенсация авто, ₽</t>
  </si>
  <si>
    <t xml:space="preserve">Резерв качества</t>
  </si>
  <si>
    <t xml:space="preserve">Резерв на переделки/компенсации порчи, % от чека</t>
  </si>
  <si>
    <t xml:space="preserve">Юнит B — поддерживающая (подписка)</t>
  </si>
  <si>
    <t xml:space="preserve">Типовой объект: 2-комн., м²</t>
  </si>
  <si>
    <t xml:space="preserve">Цена разовой поддерживающей</t>
  </si>
  <si>
    <t xml:space="preserve">Разовая поддерживающая 2-комн. Рынок: 3 500–4 500 ₽ (Профи.ру ср. 3 500 ₽; budet-chisto: 2к до 53 м² от 4 000 ₽)</t>
  </si>
  <si>
    <t xml:space="preserve">Средняя скидка подписки</t>
  </si>
  <si>
    <t xml:space="preserve">Средняя скидка подписки: раз в неделю −15%, раз в 2 недели −10%</t>
  </si>
  <si>
    <t xml:space="preserve">Длительность визита</t>
  </si>
  <si>
    <t xml:space="preserve">ч</t>
  </si>
  <si>
    <t xml:space="preserve">Длительность визита, ч (1 клинер)</t>
  </si>
  <si>
    <t xml:space="preserve">Оплата клинера</t>
  </si>
  <si>
    <t xml:space="preserve">Оплата клинера, % от чека визита</t>
  </si>
  <si>
    <t xml:space="preserve">₽/визит</t>
  </si>
  <si>
    <t xml:space="preserve">Химия/расходники на визит, ₽</t>
  </si>
  <si>
    <t xml:space="preserve">Амортизация инвентаря</t>
  </si>
  <si>
    <t xml:space="preserve">Амортизация инвентаря на визит, ₽</t>
  </si>
  <si>
    <t xml:space="preserve">Проезд клинера</t>
  </si>
  <si>
    <t xml:space="preserve">Компенсация проезда клинеру, ₽</t>
  </si>
  <si>
    <t xml:space="preserve">Резерв качества, % от чека</t>
  </si>
  <si>
    <t xml:space="preserve">Визитов на подписчика в месяц</t>
  </si>
  <si>
    <t xml:space="preserve">визитов</t>
  </si>
  <si>
    <t xml:space="preserve">Среднее число визитов на подписчика в месяц (микс 1 раз/нед и 1 раз/2 нед)</t>
  </si>
  <si>
    <t xml:space="preserve">Юнит S — спецуслуги (химчистка мебели, окна)</t>
  </si>
  <si>
    <t xml:space="preserve">Средний чек спецуслуги</t>
  </si>
  <si>
    <t xml:space="preserve">Средний чек: диван + кресло/матрас или окна 2-комн. Рынок: диван 1 500–2 660 ₽ (Профи.ру ср. 2 660 ₽)</t>
  </si>
  <si>
    <t xml:space="preserve">Трудоёмкость</t>
  </si>
  <si>
    <t xml:space="preserve">Трудоёмкость, чел-ч</t>
  </si>
  <si>
    <t xml:space="preserve">Оплата мастера</t>
  </si>
  <si>
    <t xml:space="preserve">Оплата мастера, % от чека</t>
  </si>
  <si>
    <t xml:space="preserve">Химия</t>
  </si>
  <si>
    <t xml:space="preserve">Химия, ₽</t>
  </si>
  <si>
    <t xml:space="preserve">Амортизация</t>
  </si>
  <si>
    <t xml:space="preserve">Амортизация экстрактора/оборудования, ₽</t>
  </si>
  <si>
    <t xml:space="preserve">Логистика, ₽</t>
  </si>
  <si>
    <t xml:space="preserve">B2B — обслуживание офисов по договору</t>
  </si>
  <si>
    <t xml:space="preserve">Сумма договора</t>
  </si>
  <si>
    <t xml:space="preserve">₽/мес</t>
  </si>
  <si>
    <t xml:space="preserve">Ежемесячный договор: офис ~250–300 м², 5/2, вечерняя уборка, ₽/мес</t>
  </si>
  <si>
    <t xml:space="preserve">Прямые затраты</t>
  </si>
  <si>
    <t xml:space="preserve">% выручки</t>
  </si>
  <si>
    <t xml:space="preserve">Прямые затраты (ФОТ штатного клинера, химия, расходники), % выручки</t>
  </si>
  <si>
    <t xml:space="preserve">Прежний прайс Тюмени (seed.py на ревизии 0be802d) — для сравнения</t>
  </si>
  <si>
    <t xml:space="preserve">Типовой объект: комнат</t>
  </si>
  <si>
    <t xml:space="preserve">шт</t>
  </si>
  <si>
    <t xml:space="preserve">Тариф = база + комнаты × ставка + санузлы × ставка</t>
  </si>
  <si>
    <t xml:space="preserve">Типовой объект: санузлов</t>
  </si>
  <si>
    <t xml:space="preserve">Поддерживающая: база</t>
  </si>
  <si>
    <t xml:space="preserve">Сиды проекта до обновления, город tyumen</t>
  </si>
  <si>
    <t xml:space="preserve">Поддерживающая: за комнату</t>
  </si>
  <si>
    <t xml:space="preserve">Поддерживающая: за санузел</t>
  </si>
  <si>
    <t xml:space="preserve">Поддерживающая: норма времени на объект</t>
  </si>
  <si>
    <t xml:space="preserve">мин</t>
  </si>
  <si>
    <t xml:space="preserve">minutes_base + комнаты × мин + санузлы × мин (из сидов)</t>
  </si>
  <si>
    <t xml:space="preserve">Генеральная: база</t>
  </si>
  <si>
    <t xml:space="preserve">Генеральная: за комнату</t>
  </si>
  <si>
    <t xml:space="preserve">Генеральная: за санузел</t>
  </si>
  <si>
    <t xml:space="preserve">Генеральная: норма времени на объект</t>
  </si>
  <si>
    <t xml:space="preserve">После ремонта: база</t>
  </si>
  <si>
    <t xml:space="preserve">После ремонта: за комнату</t>
  </si>
  <si>
    <t xml:space="preserve">После ремонта: за санузел</t>
  </si>
  <si>
    <t xml:space="preserve">После ремонта: норма времени на объект</t>
  </si>
  <si>
    <t xml:space="preserve">Персонал и целевые ориентиры</t>
  </si>
  <si>
    <t xml:space="preserve">Продуктивных часов клинера в месяц</t>
  </si>
  <si>
    <t xml:space="preserve">Продуктивных часов клинера в месяц (FTE)</t>
  </si>
  <si>
    <t xml:space="preserve">Клинеров на 1 B2B-договор</t>
  </si>
  <si>
    <t xml:space="preserve">FTE</t>
  </si>
  <si>
    <t xml:space="preserve">Штатных клинеров на 1 B2B-договор</t>
  </si>
  <si>
    <t xml:space="preserve">Целевая маржа заказа A после CAC</t>
  </si>
  <si>
    <t xml:space="preserve">Целевая маржа заказа A после CAC (до FIX), % от чека</t>
  </si>
  <si>
    <t xml:space="preserve">Минимальный LTV / CAC</t>
  </si>
  <si>
    <t xml:space="preserve">x</t>
  </si>
  <si>
    <t xml:space="preserve">Минимальный LTV/CAC для подписки</t>
  </si>
  <si>
    <t xml:space="preserve">Макс. окупаемость CAC подписчика</t>
  </si>
  <si>
    <t xml:space="preserve">Максимальный срок окупаемости CAC подписчика, мес</t>
  </si>
  <si>
    <t xml:space="preserve">Конверсия лида в заказ A</t>
  </si>
  <si>
    <t xml:space="preserve">Конверсия лида в заказ A (после ремонта/генеральная)</t>
  </si>
  <si>
    <t xml:space="preserve">Конверсия пробной уборки в подписку</t>
  </si>
  <si>
    <t xml:space="preserve">Конверсия первой поддерживающей уборки в подписку</t>
  </si>
  <si>
    <t xml:space="preserve">Сезонность разовых заказов (индекс по календарному месяцу)</t>
  </si>
  <si>
    <t xml:space="preserve">01 — янв</t>
  </si>
  <si>
    <t xml:space="preserve">индекс</t>
  </si>
  <si>
    <t xml:space="preserve">Экспертная оценка для Тюмени: провал янв–фев, пики апр–май, авг–сен, дек</t>
  </si>
  <si>
    <t xml:space="preserve">02 — фев</t>
  </si>
  <si>
    <t xml:space="preserve">03 — мар</t>
  </si>
  <si>
    <t xml:space="preserve">04 — апр</t>
  </si>
  <si>
    <t xml:space="preserve">05 — май</t>
  </si>
  <si>
    <t xml:space="preserve">06 — июн</t>
  </si>
  <si>
    <t xml:space="preserve">07 — июл</t>
  </si>
  <si>
    <t xml:space="preserve">08 — авг</t>
  </si>
  <si>
    <t xml:space="preserve">09 — сен</t>
  </si>
  <si>
    <t xml:space="preserve">10 — окт</t>
  </si>
  <si>
    <t xml:space="preserve">11 — ноя</t>
  </si>
  <si>
    <t xml:space="preserve">12 — дек</t>
  </si>
  <si>
    <t xml:space="preserve">Постоянные расходы (FIX), ₽/мес</t>
  </si>
  <si>
    <t xml:space="preserve">Администратор-диспетчер / продажи (оклад + KPI, с взносами; можно делить с Уфой)</t>
  </si>
  <si>
    <t xml:space="preserve">Бригадир-контролёр качества (фикс-часть; сдельная — в COGS)</t>
  </si>
  <si>
    <t xml:space="preserve">Кладовая инвентаря 15–20 м² + коммуналка</t>
  </si>
  <si>
    <t xml:space="preserve">Телефония и коллтрекинг, SMS, доля хостинга (CRM своя)</t>
  </si>
  <si>
    <t xml:space="preserve">Яндекс Бизнес, расширенный тариф (~18 270 ₽ / 90 дней)</t>
  </si>
  <si>
    <t xml:space="preserve">Авито: тариф/базовое продвижение</t>
  </si>
  <si>
    <t xml:space="preserve">SEO и контент (копирайтер, фото, PR-размещения)</t>
  </si>
  <si>
    <t xml:space="preserve">Бухгалтерия на аутсорсе + ЭДО</t>
  </si>
  <si>
    <t xml:space="preserve">Страхование гражданской ответственности</t>
  </si>
  <si>
    <t xml:space="preserve">Хозрасходы, обучение, непредвиденные</t>
  </si>
  <si>
    <t xml:space="preserve">FIX базовый, итого</t>
  </si>
  <si>
    <t xml:space="preserve">Без вознаграждения собственника</t>
  </si>
  <si>
    <t xml:space="preserve">Доп. накладные на ступень выручки</t>
  </si>
  <si>
    <t xml:space="preserve">Доп. накладные на каждую ступень выручки (2-й диспетчер, контролёр, склад)</t>
  </si>
  <si>
    <t xml:space="preserve">Ступень выручки</t>
  </si>
  <si>
    <t xml:space="preserve">Ступень выручки в месяц, ₽</t>
  </si>
  <si>
    <t xml:space="preserve">CAPEX — стартовое оборудование и запуск (M0). Цены — ориентиры 2026, проверить у поставщиков</t>
  </si>
  <si>
    <t xml:space="preserve">Позиция</t>
  </si>
  <si>
    <t xml:space="preserve">Цена за ед., ₽</t>
  </si>
  <si>
    <t xml:space="preserve">Кол-во</t>
  </si>
  <si>
    <t xml:space="preserve">Сумма, ₽</t>
  </si>
  <si>
    <t xml:space="preserve">Экстрактор для химчистки мебели (класс Karcher Puzzi 10/1)</t>
  </si>
  <si>
    <t xml:space="preserve">Пылесос строительный для уборки после ремонта (класс NT 30/1, фильтр L)</t>
  </si>
  <si>
    <t xml:space="preserve">Пылесос профессиональный сухой уборки (класс T 10/1)</t>
  </si>
  <si>
    <t xml:space="preserve">Парогенератор (класс SC 4/SC 5)</t>
  </si>
  <si>
    <t xml:space="preserve">Оконный инвентарь: сгоны, шубки, скребки, телескопические штанги</t>
  </si>
  <si>
    <t xml:space="preserve">Стремянка</t>
  </si>
  <si>
    <t xml:space="preserve">Комплект бригады: тележка/вёдра, микрофибра, пады, щётки</t>
  </si>
  <si>
    <t xml:space="preserve">Спецодежда с брендингом</t>
  </si>
  <si>
    <t xml:space="preserve">Стартовый запас профхимии и расходников (~1,5 мес.)</t>
  </si>
  <si>
    <t xml:space="preserve">Брендинг и полиграфия: бирки «Убрано», QR-карточки, листовки, наклейки</t>
  </si>
  <si>
    <t xml:space="preserve">Фото/видео-съёмка для карт, Авито, сайта</t>
  </si>
  <si>
    <t xml:space="preserve">Контент Тюмени для сайта: страницы ЖК и услуг, тексты, фото (платформа уже есть)</t>
  </si>
  <si>
    <t xml:space="preserve">Телефон + ноутбук для диспетчера</t>
  </si>
  <si>
    <t xml:space="preserve">Итого</t>
  </si>
  <si>
    <t xml:space="preserve">CAPEX 2-го этапа (месяц покупки — на листе «Сценарии»)</t>
  </si>
  <si>
    <t xml:space="preserve">Роторная (однодисковая) машина, класс BDS 43/150 (можно б/у)</t>
  </si>
  <si>
    <t xml:space="preserve">Второй экстрактор</t>
  </si>
  <si>
    <t xml:space="preserve">Третий комплект бригады (пылесос + парогенератор + инвентарь)</t>
  </si>
  <si>
    <t xml:space="preserve">Предзапусковые расходы (M0)</t>
  </si>
  <si>
    <t xml:space="preserve">Рекрутинг клинеров (hh.ru, Авито Работа)</t>
  </si>
  <si>
    <t xml:space="preserve">Стажировка: 8 чел. × 2 дня × 2 000 ₽</t>
  </si>
  <si>
    <t xml:space="preserve">Стартовое продвижение на Авито</t>
  </si>
  <si>
    <t xml:space="preserve">Листовки/почтовые ящики в 3–5 ЖК</t>
  </si>
  <si>
    <t xml:space="preserve">Юрист: оферта, договоры B2B, политика ПДн (152-ФЗ)</t>
  </si>
  <si>
    <t xml:space="preserve">Предзапуск, итого</t>
  </si>
  <si>
    <t xml:space="preserve">Запас к макс. кассовому разрыву (пессимист.)</t>
  </si>
  <si>
    <t xml:space="preserve">Коэффициент запаса к максимальному кассовому разрыву пессимистичного сценария</t>
  </si>
  <si>
    <t xml:space="preserve">Сценарии: объёмы, отток, CAC</t>
  </si>
  <si>
    <t xml:space="preserve">Заказы A в M1, шт/мес (до сезонности)</t>
  </si>
  <si>
    <t xml:space="preserve">Заказы A в M6, шт/мес (до сезонности)</t>
  </si>
  <si>
    <t xml:space="preserve">Рост заказов A с M7, %/мес</t>
  </si>
  <si>
    <t xml:space="preserve">Потолок мощности по A, шт/мес</t>
  </si>
  <si>
    <t xml:space="preserve">Новые подписчики B в M1, чел/мес</t>
  </si>
  <si>
    <t xml:space="preserve">Новые подписчики B в M6, чел/мес</t>
  </si>
  <si>
    <t xml:space="preserve">Рост притока подписчиков с M7, %/мес</t>
  </si>
  <si>
    <t xml:space="preserve">Отток подписчиков, %/мес</t>
  </si>
  <si>
    <t xml:space="preserve">Спецуслуги (химчистка/окна) на 1 заказ A</t>
  </si>
  <si>
    <t xml:space="preserve">Месяц первого B2B-договора</t>
  </si>
  <si>
    <t xml:space="preserve">Новый B2B-договор каждые N мес</t>
  </si>
  <si>
    <t xml:space="preserve">Максимум B2B-договоров</t>
  </si>
  <si>
    <t xml:space="preserve">CAC заказа A (партнёрская комиссия, продвижение), ₽</t>
  </si>
  <si>
    <t xml:space="preserve">CAC подписчика B (вкл. скидку на 1-й визит), ₽</t>
  </si>
  <si>
    <t xml:space="preserve">CAC заказа спецуслуги, ₽</t>
  </si>
  <si>
    <t xml:space="preserve">Месяц покупки оборудования 2-го этапа</t>
  </si>
  <si>
    <t xml:space="preserve">Юнит-экономика по типам заказов</t>
  </si>
  <si>
    <t xml:space="preserve">Тип A — генеральная / после ремонта</t>
  </si>
  <si>
    <t xml:space="preserve">₽ / значение</t>
  </si>
  <si>
    <t xml:space="preserve">% от чека</t>
  </si>
  <si>
    <t xml:space="preserve">Средневзвешенная цена, ₽/м²</t>
  </si>
  <si>
    <t xml:space="preserve">Средний чек (AOV)</t>
  </si>
  <si>
    <t xml:space="preserve">Площадь × цена + допчек</t>
  </si>
  <si>
    <t xml:space="preserve">Резерв качества (переделки, компенсации)</t>
  </si>
  <si>
    <t xml:space="preserve">Переменные затраты (COGS)</t>
  </si>
  <si>
    <t xml:space="preserve">Валовая прибыль</t>
  </si>
  <si>
    <t xml:space="preserve">УСН</t>
  </si>
  <si>
    <t xml:space="preserve">Маржинальный доход до CAC</t>
  </si>
  <si>
    <t xml:space="preserve">Сколько заказ приносит на покрытие FIX и маркетинга</t>
  </si>
  <si>
    <t xml:space="preserve">Оплата клинера за чел-час</t>
  </si>
  <si>
    <t xml:space="preserve">Ориентир рынка Тюмени: 300–450 ₽/ч</t>
  </si>
  <si>
    <t xml:space="preserve">Оплата клинеров за м²</t>
  </si>
  <si>
    <t xml:space="preserve">Допустимый CAC при целевой марже</t>
  </si>
  <si>
    <t xml:space="preserve">Маржа после CAC не ниже целевой</t>
  </si>
  <si>
    <t xml:space="preserve">CAC безубыточности заказа</t>
  </si>
  <si>
    <t xml:space="preserve">Выше — каждый заказ в минус</t>
  </si>
  <si>
    <t xml:space="preserve">Допустимая цена лида (CPL)</t>
  </si>
  <si>
    <t xml:space="preserve">При конверсии лид → заказ из «Допущений»</t>
  </si>
  <si>
    <t xml:space="preserve">Тип B — поддерживающая (подписка), на 1 визит</t>
  </si>
  <si>
    <t xml:space="preserve">Цена визита по подписке</t>
  </si>
  <si>
    <t xml:space="preserve">Разовая цена − средняя скидка подписки</t>
  </si>
  <si>
    <t xml:space="preserve">Переменные затраты на визит</t>
  </si>
  <si>
    <t xml:space="preserve">Валовая прибыль на визит</t>
  </si>
  <si>
    <t xml:space="preserve">Маржинальный доход на визит</t>
  </si>
  <si>
    <t xml:space="preserve">Оплата клинера за час</t>
  </si>
  <si>
    <t xml:space="preserve">Выручка с подписчика в месяц</t>
  </si>
  <si>
    <t xml:space="preserve">Маржинальный доход с подписчика в месяц</t>
  </si>
  <si>
    <t xml:space="preserve">LTV подписчика по сценариям</t>
  </si>
  <si>
    <t xml:space="preserve">Отток в месяц</t>
  </si>
  <si>
    <t xml:space="preserve">Средний срок жизни, мес (1 / отток)</t>
  </si>
  <si>
    <t xml:space="preserve">LTV по выручке</t>
  </si>
  <si>
    <t xml:space="preserve">LTV по маржинальному доходу</t>
  </si>
  <si>
    <t xml:space="preserve">Макс. CAC при LTV/CAC ≥ цели</t>
  </si>
  <si>
    <t xml:space="preserve">Макс. CAC при окупаемости ≤ N мес</t>
  </si>
  <si>
    <t xml:space="preserve">CAC в сценарии</t>
  </si>
  <si>
    <t xml:space="preserve">LTV / CAC в сценарии</t>
  </si>
  <si>
    <t xml:space="preserve">Окупаемость CAC, мес</t>
  </si>
  <si>
    <t xml:space="preserve">Прежний прайс сайта vs рекомендуемый (2-комн., 1 санузел)</t>
  </si>
  <si>
    <t xml:space="preserve">Прежний: доля ФОТ как в модели</t>
  </si>
  <si>
    <t xml:space="preserve">Прежний: рыночная ставка клинера</t>
  </si>
  <si>
    <t xml:space="preserve">Рекомендуемый прайс</t>
  </si>
  <si>
    <t xml:space="preserve">Генеральная, ₽</t>
  </si>
  <si>
    <t xml:space="preserve">После ремонта, ₽</t>
  </si>
  <si>
    <t xml:space="preserve">Норма времени: генеральная / после ремонта (движок), ч</t>
  </si>
  <si>
    <t xml:space="preserve">Средний чек A (с допчеком)</t>
  </si>
  <si>
    <t xml:space="preserve">Оплата клинеров A, ₽</t>
  </si>
  <si>
    <t xml:space="preserve">… доля от чека</t>
  </si>
  <si>
    <t xml:space="preserve">… ставка клинера при трудоёмкости модели, ₽/чел-ч</t>
  </si>
  <si>
    <t xml:space="preserve">Маржинальный доход A до CAC</t>
  </si>
  <si>
    <t xml:space="preserve">… маржинальность A</t>
  </si>
  <si>
    <t xml:space="preserve">Поддерживающая разово, ₽</t>
  </si>
  <si>
    <t xml:space="preserve">Визит по подписке, ₽</t>
  </si>
  <si>
    <t xml:space="preserve">Ставка клинера на визите, ₽/ч</t>
  </si>
  <si>
    <t xml:space="preserve">Трудоёмкость модели: генеральная ~12, после ремонта ~16 чел-ч; FAQ сайта: «2 специалиста на 4–6 часов» для генеральной 2-комн.</t>
  </si>
  <si>
    <t xml:space="preserve">Тип S — спецуслуги (химчистка мебели, окна)</t>
  </si>
  <si>
    <t xml:space="preserve">Средний чек</t>
  </si>
  <si>
    <t xml:space="preserve">Переменные затраты</t>
  </si>
  <si>
    <t xml:space="preserve">Маржинальный доход</t>
  </si>
  <si>
    <t xml:space="preserve">B2B — договор на обслуживание офиса, в месяц</t>
  </si>
  <si>
    <t xml:space="preserve">ОПиУ и денежный поток — сценарий «Пессимистичный», ₽</t>
  </si>
  <si>
    <t xml:space="preserve">Итого 24 мес</t>
  </si>
  <si>
    <t xml:space="preserve">M1
ноя 26</t>
  </si>
  <si>
    <t xml:space="preserve">M2
дек 26</t>
  </si>
  <si>
    <t xml:space="preserve">M3
янв 27</t>
  </si>
  <si>
    <t xml:space="preserve">M4
фев 27</t>
  </si>
  <si>
    <t xml:space="preserve">M5
мар 27</t>
  </si>
  <si>
    <t xml:space="preserve">M6
апр 27</t>
  </si>
  <si>
    <t xml:space="preserve">M7
май 27</t>
  </si>
  <si>
    <t xml:space="preserve">M8
июн 27</t>
  </si>
  <si>
    <t xml:space="preserve">M9
июл 27</t>
  </si>
  <si>
    <t xml:space="preserve">M10
авг 27</t>
  </si>
  <si>
    <t xml:space="preserve">M11
сен 27</t>
  </si>
  <si>
    <t xml:space="preserve">M12
окт 27</t>
  </si>
  <si>
    <t xml:space="preserve">M13
ноя 27</t>
  </si>
  <si>
    <t xml:space="preserve">M14
дек 27</t>
  </si>
  <si>
    <t xml:space="preserve">M15
янв 28</t>
  </si>
  <si>
    <t xml:space="preserve">M16
фев 28</t>
  </si>
  <si>
    <t xml:space="preserve">M17
мар 28</t>
  </si>
  <si>
    <t xml:space="preserve">M18
апр 28</t>
  </si>
  <si>
    <t xml:space="preserve">M19
май 28</t>
  </si>
  <si>
    <t xml:space="preserve">M20
июн 28</t>
  </si>
  <si>
    <t xml:space="preserve">M21
июл 28</t>
  </si>
  <si>
    <t xml:space="preserve">M22
авг 28</t>
  </si>
  <si>
    <t xml:space="preserve">M23
сен 28</t>
  </si>
  <si>
    <t xml:space="preserve">M24
окт 28</t>
  </si>
  <si>
    <t xml:space="preserve">Месяц №</t>
  </si>
  <si>
    <t xml:space="preserve">Год</t>
  </si>
  <si>
    <t xml:space="preserve">Календарный месяц</t>
  </si>
  <si>
    <t xml:space="preserve">Индекс сезонности</t>
  </si>
  <si>
    <t xml:space="preserve">ОБЪЁМЫ</t>
  </si>
  <si>
    <t xml:space="preserve">Заказы A до сезонности</t>
  </si>
  <si>
    <t xml:space="preserve">Заказы A (генеральная / после ремонта)</t>
  </si>
  <si>
    <t xml:space="preserve">Новые подписчики B</t>
  </si>
  <si>
    <t xml:space="preserve">Активные подписчики B</t>
  </si>
  <si>
    <t xml:space="preserve">Визиты B</t>
  </si>
  <si>
    <t xml:space="preserve">Заказы спецуслуг S</t>
  </si>
  <si>
    <t xml:space="preserve">Действующие B2B-договоры</t>
  </si>
  <si>
    <t xml:space="preserve">Потребность в клинерах, FTE</t>
  </si>
  <si>
    <t xml:space="preserve">ОПиУ</t>
  </si>
  <si>
    <t xml:space="preserve">Выручка A</t>
  </si>
  <si>
    <t xml:space="preserve">Выручка B (подписка)</t>
  </si>
  <si>
    <t xml:space="preserve">Выручка S (спецуслуги)</t>
  </si>
  <si>
    <t xml:space="preserve">Выручка B2B</t>
  </si>
  <si>
    <t xml:space="preserve">ВЫРУЧКА</t>
  </si>
  <si>
    <t xml:space="preserve">Переменные затраты (ФОТ клинеров, химия, логистика, эквайринг, резерв)</t>
  </si>
  <si>
    <t xml:space="preserve">Маркетинг (CAC: партнёрам, продвижение, скидка 1-го визита)</t>
  </si>
  <si>
    <t xml:space="preserve">Постоянные расходы (FIX)</t>
  </si>
  <si>
    <t xml:space="preserve">НДС применяется (1 = да)</t>
  </si>
  <si>
    <t xml:space="preserve">НДС (выделяется из цены)</t>
  </si>
  <si>
    <t xml:space="preserve">ОПЕРАЦИОННАЯ ПРИБЫЛЬ</t>
  </si>
  <si>
    <t xml:space="preserve">Рентабельность по операционной прибыли</t>
  </si>
  <si>
    <t xml:space="preserve">ДЕНЕЖНЫЙ ПОТОК</t>
  </si>
  <si>
    <t xml:space="preserve">CAPEX 2-го этапа</t>
  </si>
  <si>
    <t xml:space="preserve">Денежный поток месяца</t>
  </si>
  <si>
    <t xml:space="preserve">Накопленный ДП без стартовых вложений</t>
  </si>
  <si>
    <t xml:space="preserve">Накопленный ДП с учётом CAPEX и предзапуска (M0)</t>
  </si>
  <si>
    <t xml:space="preserve">Служебная: месяц, после которого нет убыточных месяцев</t>
  </si>
  <si>
    <t xml:space="preserve">ОПиУ и денежный поток — сценарий «Реалистичный», ₽</t>
  </si>
  <si>
    <t xml:space="preserve">ОПиУ и денежный поток — сценарий «Оптимистичный», ₽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</si>
</sst>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0"/>
    <numFmt numFmtId="168" formatCode="0.0;\(0.0\);\-"/>
    <numFmt numFmtId="169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10</v>
      </c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2" t="s">
        <v>16</v>
      </c>
    </row>
    <row r="23" customFormat="false" ht="1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8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19</v>
      </c>
    </row>
    <row r="3" customFormat="false" ht="26.85" hidden="false" customHeight="false" outlineLevel="0" collapsed="false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</row>
    <row r="4" customFormat="false" ht="15" hidden="false" customHeight="false" outlineLevel="0" collapsed="false">
      <c r="A4" s="2" t="s">
        <v>25</v>
      </c>
      <c r="B4" s="4" t="n">
        <f aca="false">SUM(ОПиУ_Пессимист!C23:N23)</f>
        <v>7371857.03411892</v>
      </c>
      <c r="C4" s="4" t="n">
        <f aca="false">SUM(ОПиУ_Реалист!C23:N23)</f>
        <v>14560374.4542091</v>
      </c>
      <c r="D4" s="4" t="n">
        <f aca="false">SUM(ОПиУ_Оптимист!C23:N23)</f>
        <v>21686438.444644</v>
      </c>
      <c r="E4" s="5"/>
    </row>
    <row r="5" customFormat="false" ht="15" hidden="false" customHeight="false" outlineLevel="0" collapsed="false">
      <c r="A5" s="2" t="s">
        <v>26</v>
      </c>
      <c r="B5" s="4" t="n">
        <f aca="false">ОПиУ_Пессимист!B23</f>
        <v>21462321.4837465</v>
      </c>
      <c r="C5" s="4" t="n">
        <f aca="false">ОПиУ_Реалист!B23</f>
        <v>49127822.128023</v>
      </c>
      <c r="D5" s="4" t="n">
        <f aca="false">ОПиУ_Оптимист!B23</f>
        <v>77114079.6826623</v>
      </c>
      <c r="E5" s="5"/>
    </row>
    <row r="6" customFormat="false" ht="15" hidden="false" customHeight="false" outlineLevel="0" collapsed="false">
      <c r="A6" s="2" t="s">
        <v>27</v>
      </c>
      <c r="B6" s="4" t="n">
        <f aca="false">ОПиУ_Пессимист!N23</f>
        <v>932305.953264102</v>
      </c>
      <c r="C6" s="4" t="n">
        <f aca="false">ОПиУ_Реалист!N23</f>
        <v>2022220.3974921</v>
      </c>
      <c r="D6" s="4" t="n">
        <f aca="false">ОПиУ_Оптимист!N23</f>
        <v>3106776.33176611</v>
      </c>
      <c r="E6" s="5"/>
    </row>
    <row r="7" customFormat="false" ht="15" hidden="false" customHeight="false" outlineLevel="0" collapsed="false">
      <c r="A7" s="2" t="s">
        <v>28</v>
      </c>
      <c r="B7" s="4" t="n">
        <f aca="false">ОПиУ_Пессимист!Z23</f>
        <v>1297561.49459949</v>
      </c>
      <c r="C7" s="4" t="n">
        <f aca="false">ОПиУ_Реалист!Z23</f>
        <v>3525380.9406061</v>
      </c>
      <c r="D7" s="4" t="n">
        <f aca="false">ОПиУ_Оптимист!Z23</f>
        <v>5837246.60970684</v>
      </c>
      <c r="E7" s="5"/>
    </row>
    <row r="8" customFormat="false" ht="15" hidden="false" customHeight="false" outlineLevel="0" collapsed="false">
      <c r="A8" s="2" t="s">
        <v>29</v>
      </c>
      <c r="B8" s="4" t="n">
        <f aca="false">SUM(ОПиУ_Пессимист!C31:N31)</f>
        <v>-414585.792250242</v>
      </c>
      <c r="C8" s="4" t="n">
        <f aca="false">SUM(ОПиУ_Реалист!C31:N31)</f>
        <v>1277817.89683262</v>
      </c>
      <c r="D8" s="4" t="n">
        <f aca="false">SUM(ОПиУ_Оптимист!C31:N31)</f>
        <v>3223063.05502781</v>
      </c>
      <c r="E8" s="5"/>
    </row>
    <row r="9" customFormat="false" ht="15" hidden="false" customHeight="false" outlineLevel="0" collapsed="false">
      <c r="A9" s="2" t="s">
        <v>30</v>
      </c>
      <c r="B9" s="4" t="n">
        <f aca="false">ОПиУ_Пессимист!B31</f>
        <v>995249.546486614</v>
      </c>
      <c r="C9" s="4" t="n">
        <f aca="false">ОПиУ_Реалист!B31</f>
        <v>7072084.29340783</v>
      </c>
      <c r="D9" s="4" t="n">
        <f aca="false">ОПиУ_Оптимист!B31</f>
        <v>12265916.7015172</v>
      </c>
      <c r="E9" s="5"/>
    </row>
    <row r="10" customFormat="false" ht="15" hidden="false" customHeight="false" outlineLevel="0" collapsed="false">
      <c r="A10" s="2" t="s">
        <v>31</v>
      </c>
      <c r="B10" s="4" t="n">
        <f aca="false">ОПиУ_Пессимист!N31</f>
        <v>50937.9582293761</v>
      </c>
      <c r="C10" s="4" t="n">
        <f aca="false">ОПиУ_Реалист!N31</f>
        <v>299822.303350476</v>
      </c>
      <c r="D10" s="4" t="n">
        <f aca="false">ОПиУ_Оптимист!N31</f>
        <v>557360.710004913</v>
      </c>
      <c r="E10" s="5"/>
    </row>
    <row r="11" customFormat="false" ht="15" hidden="false" customHeight="false" outlineLevel="0" collapsed="false">
      <c r="A11" s="2" t="s">
        <v>32</v>
      </c>
      <c r="B11" s="4" t="n">
        <f aca="false">ОПиУ_Пессимист!Z31</f>
        <v>151302.364057672</v>
      </c>
      <c r="C11" s="4" t="n">
        <f aca="false">ОПиУ_Реалист!Z31</f>
        <v>500075.427995136</v>
      </c>
      <c r="D11" s="4" t="n">
        <f aca="false">ОПиУ_Оптимист!Z31</f>
        <v>1028239.20417973</v>
      </c>
      <c r="E11" s="5"/>
    </row>
    <row r="12" customFormat="false" ht="15" hidden="false" customHeight="false" outlineLevel="0" collapsed="false">
      <c r="A12" s="2" t="s">
        <v>33</v>
      </c>
      <c r="B12" s="6" t="n">
        <f aca="false">ОПиУ_Пессимист!B32</f>
        <v>0.046371942906564</v>
      </c>
      <c r="C12" s="6" t="n">
        <f aca="false">ОПиУ_Реалист!B32</f>
        <v>0.143952733646091</v>
      </c>
      <c r="D12" s="6" t="n">
        <f aca="false">ОПиУ_Оптимист!B32</f>
        <v>0.159061960565354</v>
      </c>
      <c r="E12" s="5"/>
    </row>
    <row r="13" customFormat="false" ht="15" hidden="false" customHeight="false" outlineLevel="0" collapsed="false">
      <c r="A13" s="2" t="s">
        <v>34</v>
      </c>
      <c r="B13" s="7" t="n">
        <f aca="false">IF(MIN(ОПиУ_Пессимист!C39:Z39)=0,"&gt; 24",MIN(ОПиУ_Пессимист!C39:Z39))</f>
        <v>7</v>
      </c>
      <c r="C13" s="7" t="n">
        <f aca="false">IF(MIN(ОПиУ_Реалист!C39:Z39)=0,"&gt; 24",MIN(ОПиУ_Реалист!C39:Z39))</f>
        <v>5</v>
      </c>
      <c r="D13" s="7" t="n">
        <f aca="false">IF(MIN(ОПиУ_Оптимист!C39:Z39)=0,"&gt; 24",MIN(ОПиУ_Оптимист!C39:Z39))</f>
        <v>4</v>
      </c>
      <c r="E13" s="5" t="s">
        <v>35</v>
      </c>
    </row>
    <row r="14" customFormat="false" ht="15" hidden="false" customHeight="false" outlineLevel="0" collapsed="false">
      <c r="A14" s="2" t="s">
        <v>36</v>
      </c>
      <c r="B14" s="7" t="n">
        <f aca="false">IF(_xlfn.MINIFS(ОПиУ_Пессимист!C3:Z3,ОПиУ_Пессимист!C38:Z38,"&gt;=0")=0,"&gt; 24",_xlfn.MINIFS(ОПиУ_Пессимист!C3:Z3,ОПиУ_Пессимист!C38:Z38,"&gt;=0"))</f>
        <v>24</v>
      </c>
      <c r="C14" s="7" t="n">
        <f aca="false">IF(_xlfn.MINIFS(ОПиУ_Реалист!C3:Z3,ОПиУ_Реалист!C38:Z38,"&gt;=0")=0,"&gt; 24",_xlfn.MINIFS(ОПиУ_Реалист!C3:Z3,ОПиУ_Реалист!C38:Z38,"&gt;=0"))</f>
        <v>11</v>
      </c>
      <c r="D14" s="7" t="n">
        <f aca="false">IF(_xlfn.MINIFS(ОПиУ_Оптимист!C3:Z3,ОПиУ_Оптимист!C38:Z38,"&gt;=0")=0,"&gt; 24",_xlfn.MINIFS(ОПиУ_Оптимист!C3:Z3,ОПиУ_Оптимист!C38:Z38,"&gt;=0"))</f>
        <v>8</v>
      </c>
      <c r="E14" s="5" t="s">
        <v>37</v>
      </c>
    </row>
    <row r="15" customFormat="false" ht="15" hidden="false" customHeight="false" outlineLevel="0" collapsed="false">
      <c r="A15" s="2" t="s">
        <v>38</v>
      </c>
      <c r="B15" s="4" t="n">
        <f aca="false">-MIN(0,MIN(ОПиУ_Пессимист!C37:Z37))</f>
        <v>853486.733338984</v>
      </c>
      <c r="C15" s="4" t="n">
        <f aca="false">-MIN(0,MIN(ОПиУ_Реалист!C37:Z37))</f>
        <v>388177.523623928</v>
      </c>
      <c r="D15" s="4" t="n">
        <f aca="false">-MIN(0,MIN(ОПиУ_Оптимист!C37:Z37))</f>
        <v>355125.174172608</v>
      </c>
      <c r="E15" s="5" t="s">
        <v>39</v>
      </c>
    </row>
    <row r="16" customFormat="false" ht="15" hidden="false" customHeight="false" outlineLevel="0" collapsed="false">
      <c r="A16" s="2" t="s">
        <v>40</v>
      </c>
      <c r="B16" s="4" t="n">
        <f aca="false">MIN(ОПиУ_Пессимист!C38:Z38)</f>
        <v>-1427486.73333898</v>
      </c>
      <c r="C16" s="4" t="n">
        <f aca="false">MIN(ОПиУ_Реалист!C38:Z38)</f>
        <v>-962177.523623928</v>
      </c>
      <c r="D16" s="4" t="n">
        <f aca="false">MIN(ОПиУ_Оптимист!C38:Z38)</f>
        <v>-929125.174172608</v>
      </c>
      <c r="E16" s="5" t="s">
        <v>41</v>
      </c>
    </row>
    <row r="17" customFormat="false" ht="15" hidden="false" customHeight="false" outlineLevel="0" collapsed="false">
      <c r="A17" s="2" t="s">
        <v>42</v>
      </c>
      <c r="B17" s="7" t="str">
        <f aca="false">IF(_xlfn.MINIFS(ОПиУ_Пессимист!C3:Z3,ОПиУ_Пессимист!C28:Z28,1)=0,"нет",_xlfn.MINIFS(ОПиУ_Пессимист!C3:Z3,ОПиУ_Пессимист!C28:Z28,1))</f>
        <v>нет</v>
      </c>
      <c r="C17" s="7" t="n">
        <f aca="false">IF(_xlfn.MINIFS(ОПиУ_Реалист!C3:Z3,ОПиУ_Реалист!C28:Z28,1)=0,"нет",_xlfn.MINIFS(ОПиУ_Реалист!C3:Z3,ОПиУ_Реалист!C28:Z28,1))</f>
        <v>23</v>
      </c>
      <c r="D17" s="7" t="n">
        <f aca="false">IF(_xlfn.MINIFS(ОПиУ_Оптимист!C3:Z3,ОПиУ_Оптимист!C28:Z28,1)=0,"нет",_xlfn.MINIFS(ОПиУ_Оптимист!C3:Z3,ОПиУ_Оптимист!C28:Z28,1))</f>
        <v>13</v>
      </c>
      <c r="E17" s="5" t="s">
        <v>43</v>
      </c>
    </row>
    <row r="18" customFormat="false" ht="15" hidden="false" customHeight="false" outlineLevel="0" collapsed="false">
      <c r="A18" s="2" t="s">
        <v>44</v>
      </c>
      <c r="B18" s="4" t="n">
        <f aca="false">ОПиУ_Пессимист!Z12</f>
        <v>61.7816251308353</v>
      </c>
      <c r="C18" s="4" t="n">
        <f aca="false">ОПиУ_Реалист!Z12</f>
        <v>190.964751659775</v>
      </c>
      <c r="D18" s="4" t="n">
        <f aca="false">ОПиУ_Оптимист!Z12</f>
        <v>331.360994183612</v>
      </c>
      <c r="E18" s="5"/>
    </row>
    <row r="19" customFormat="false" ht="15" hidden="false" customHeight="false" outlineLevel="0" collapsed="false">
      <c r="A19" s="2" t="s">
        <v>45</v>
      </c>
      <c r="B19" s="8" t="n">
        <f aca="false">ОПиУ_Пессимист!N16</f>
        <v>6.91324835840947</v>
      </c>
      <c r="C19" s="8" t="n">
        <f aca="false">ОПиУ_Реалист!N16</f>
        <v>15.4435950585806</v>
      </c>
      <c r="D19" s="8" t="n">
        <f aca="false">ОПиУ_Оптимист!N16</f>
        <v>23.866086250955</v>
      </c>
      <c r="E19" s="5"/>
    </row>
    <row r="20" customFormat="false" ht="15" hidden="false" customHeight="false" outlineLevel="0" collapsed="false">
      <c r="A20" s="2" t="s">
        <v>46</v>
      </c>
      <c r="B20" s="8" t="n">
        <f aca="false">ОПиУ_Пессимист!Z16</f>
        <v>10.00882840514</v>
      </c>
      <c r="C20" s="8" t="n">
        <f aca="false">ОПиУ_Реалист!Z16</f>
        <v>26.8052488284235</v>
      </c>
      <c r="D20" s="8" t="n">
        <f aca="false">ОПиУ_Оптимист!Z16</f>
        <v>43.3955849533293</v>
      </c>
      <c r="E20" s="5"/>
    </row>
    <row r="22" customFormat="false" ht="15" hidden="false" customHeight="false" outlineLevel="0" collapsed="false">
      <c r="A22" s="3" t="s">
        <v>47</v>
      </c>
      <c r="B22" s="3" t="s">
        <v>48</v>
      </c>
      <c r="C22" s="3" t="s">
        <v>49</v>
      </c>
      <c r="D22" s="3"/>
      <c r="E22" s="3" t="s">
        <v>24</v>
      </c>
    </row>
    <row r="23" customFormat="false" ht="15" hidden="false" customHeight="false" outlineLevel="0" collapsed="false">
      <c r="A23" s="2" t="s">
        <v>50</v>
      </c>
      <c r="B23" s="9" t="n">
        <f aca="false">capex_base</f>
        <v>472000</v>
      </c>
      <c r="C23" s="9" t="n">
        <f aca="false">capex_base</f>
        <v>472000</v>
      </c>
      <c r="E23" s="5" t="s">
        <v>51</v>
      </c>
    </row>
    <row r="24" customFormat="false" ht="15" hidden="false" customHeight="false" outlineLevel="0" collapsed="false">
      <c r="A24" s="2" t="s">
        <v>52</v>
      </c>
      <c r="B24" s="9" t="n">
        <f aca="false">prelaunch_total</f>
        <v>102000</v>
      </c>
      <c r="C24" s="9" t="n">
        <f aca="false">prelaunch_total</f>
        <v>102000</v>
      </c>
      <c r="E24" s="5"/>
    </row>
    <row r="25" customFormat="false" ht="15" hidden="false" customHeight="false" outlineLevel="0" collapsed="false">
      <c r="A25" s="2" t="s">
        <v>53</v>
      </c>
      <c r="B25" s="9" t="n">
        <f aca="false">max_gap_R*reserve_safety</f>
        <v>465813.028348714</v>
      </c>
      <c r="C25" s="9" t="n">
        <f aca="false">max_gap_P*reserve_safety</f>
        <v>1024184.08000678</v>
      </c>
      <c r="E25" s="5" t="s">
        <v>54</v>
      </c>
    </row>
    <row r="26" customFormat="false" ht="15" hidden="false" customHeight="false" outlineLevel="0" collapsed="false">
      <c r="A26" s="10" t="s">
        <v>55</v>
      </c>
      <c r="B26" s="11" t="n">
        <f aca="false">SUM(B23:B25)</f>
        <v>1039813.02834871</v>
      </c>
      <c r="C26" s="11" t="n">
        <f aca="false">SUM(C23:C25)</f>
        <v>1598184.08000678</v>
      </c>
    </row>
    <row r="28" customFormat="false" ht="26.85" hidden="false" customHeight="false" outlineLevel="0" collapsed="false">
      <c r="A28" s="3" t="s">
        <v>56</v>
      </c>
      <c r="B28" s="3" t="s">
        <v>21</v>
      </c>
      <c r="C28" s="3" t="s">
        <v>22</v>
      </c>
      <c r="D28" s="3" t="s">
        <v>23</v>
      </c>
      <c r="E28" s="3" t="s">
        <v>24</v>
      </c>
    </row>
    <row r="29" customFormat="false" ht="15" hidden="false" customHeight="false" outlineLevel="0" collapsed="false">
      <c r="A29" s="2" t="s">
        <v>57</v>
      </c>
      <c r="B29" s="9" t="n">
        <f aca="false">fix_base</f>
        <v>179600</v>
      </c>
      <c r="C29" s="9" t="n">
        <f aca="false">fix_base</f>
        <v>179600</v>
      </c>
      <c r="D29" s="9" t="n">
        <f aca="false">fix_base</f>
        <v>179600</v>
      </c>
      <c r="E29" s="5"/>
    </row>
    <row r="30" customFormat="false" ht="15" hidden="false" customHeight="false" outlineLevel="0" collapsed="false">
      <c r="A30" s="2" t="s">
        <v>58</v>
      </c>
      <c r="B30" s="9" t="n">
        <f aca="false">cm_a-sc_cac_a_P</f>
        <v>3617.5</v>
      </c>
      <c r="C30" s="9" t="n">
        <f aca="false">cm_a-sc_cac_a_R</f>
        <v>4017.5</v>
      </c>
      <c r="D30" s="9" t="n">
        <f aca="false">cm_a-sc_cac_a_O</f>
        <v>4217.5</v>
      </c>
      <c r="E30" s="5"/>
    </row>
    <row r="31" customFormat="false" ht="15" hidden="false" customHeight="false" outlineLevel="0" collapsed="false">
      <c r="A31" s="2" t="s">
        <v>59</v>
      </c>
      <c r="B31" s="12" t="n">
        <f aca="false">fix_base/(cm_a-sc_cac_a_P)</f>
        <v>49.6475466482377</v>
      </c>
      <c r="C31" s="12" t="n">
        <f aca="false">fix_base/(cm_a-sc_cac_a_R)</f>
        <v>44.704418170504</v>
      </c>
      <c r="D31" s="12" t="n">
        <f aca="false">fix_base/(cm_a-sc_cac_a_O)</f>
        <v>42.5844694724363</v>
      </c>
      <c r="E31" s="5" t="s">
        <v>60</v>
      </c>
    </row>
    <row r="32" customFormat="false" ht="15" hidden="false" customHeight="false" outlineLevel="0" collapsed="false">
      <c r="A32" s="2" t="s">
        <v>61</v>
      </c>
      <c r="B32" s="12" t="n">
        <f aca="false">fix_base/(cm_a-sc_cac_a_P)/30</f>
        <v>1.65491822160792</v>
      </c>
      <c r="C32" s="12" t="n">
        <f aca="false">fix_base/(cm_a-sc_cac_a_R)/30</f>
        <v>1.49014727235013</v>
      </c>
      <c r="D32" s="12" t="n">
        <f aca="false">fix_base/(cm_a-sc_cac_a_O)/30</f>
        <v>1.41948231574788</v>
      </c>
      <c r="E32" s="5"/>
    </row>
    <row r="33" customFormat="false" ht="15" hidden="false" customHeight="false" outlineLevel="0" collapsed="false">
      <c r="A33" s="2" t="s">
        <v>62</v>
      </c>
      <c r="B33" s="12" t="n">
        <f aca="false">fix_base/cm_b</f>
        <v>168.051500860843</v>
      </c>
      <c r="C33" s="12" t="n">
        <f aca="false">fix_base/cm_b</f>
        <v>168.051500860843</v>
      </c>
      <c r="D33" s="12" t="n">
        <f aca="false">fix_base/cm_b</f>
        <v>168.051500860843</v>
      </c>
      <c r="E33" s="5" t="s">
        <v>63</v>
      </c>
    </row>
    <row r="34" customFormat="false" ht="15" hidden="false" customHeight="false" outlineLevel="0" collapsed="false">
      <c r="A34" s="2" t="s">
        <v>64</v>
      </c>
      <c r="B34" s="12" t="n">
        <f aca="false">fix_base/cm_b/UB_visits_per_month</f>
        <v>60.0183931645868</v>
      </c>
      <c r="C34" s="12" t="n">
        <f aca="false">fix_base/cm_b/UB_visits_per_month</f>
        <v>60.0183931645868</v>
      </c>
      <c r="D34" s="12" t="n">
        <f aca="false">fix_base/cm_b/UB_visits_per_month</f>
        <v>60.0183931645868</v>
      </c>
      <c r="E34" s="5"/>
    </row>
    <row r="35" customFormat="false" ht="15" hidden="false" customHeight="false" outlineLevel="0" collapsed="false">
      <c r="A35" s="2" t="s">
        <v>65</v>
      </c>
      <c r="B35" s="12" t="n">
        <f aca="false">MAX(0,(fix_base-30*cm_month_b)/(cm_a-sc_cac_a_P))</f>
        <v>24.8313807878369</v>
      </c>
      <c r="C35" s="12" t="n">
        <f aca="false">MAX(0,(fix_base-30*cm_month_b)/(cm_a-sc_cac_a_R))</f>
        <v>22.3590591163659</v>
      </c>
      <c r="D35" s="12" t="n">
        <f aca="false">MAX(0,(fix_base-30*cm_month_b)/(cm_a-sc_cac_a_O))</f>
        <v>21.2987599288678</v>
      </c>
      <c r="E35" s="5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10"/>
  </cols>
  <sheetData>
    <row r="1" customFormat="false" ht="17.35" hidden="false" customHeight="false" outlineLevel="0" collapsed="false">
      <c r="A1" s="1" t="s">
        <v>67</v>
      </c>
    </row>
    <row r="3" customFormat="false" ht="15" hidden="false" customHeight="false" outlineLevel="0" collapsed="false">
      <c r="A3" s="3" t="s">
        <v>68</v>
      </c>
      <c r="B3" s="3" t="s">
        <v>69</v>
      </c>
      <c r="C3" s="3" t="s">
        <v>70</v>
      </c>
      <c r="D3" s="3" t="s">
        <v>71</v>
      </c>
    </row>
    <row r="4" customFormat="false" ht="15" hidden="false" customHeight="false" outlineLevel="0" collapsed="false">
      <c r="A4" s="13" t="s">
        <v>72</v>
      </c>
      <c r="B4" s="14"/>
      <c r="C4" s="14"/>
      <c r="D4" s="14"/>
    </row>
    <row r="5" customFormat="false" ht="15" hidden="false" customHeight="false" outlineLevel="0" collapsed="false">
      <c r="A5" s="2" t="s">
        <v>73</v>
      </c>
      <c r="B5" s="15" t="n">
        <v>2026</v>
      </c>
      <c r="C5" s="2" t="s">
        <v>74</v>
      </c>
      <c r="D5" s="5" t="s">
        <v>75</v>
      </c>
    </row>
    <row r="6" customFormat="false" ht="15" hidden="false" customHeight="false" outlineLevel="0" collapsed="false">
      <c r="A6" s="2" t="s">
        <v>76</v>
      </c>
      <c r="B6" s="15" t="n">
        <v>11</v>
      </c>
      <c r="C6" s="2" t="s">
        <v>77</v>
      </c>
      <c r="D6" s="5"/>
    </row>
    <row r="7" customFormat="false" ht="15" hidden="false" customHeight="false" outlineLevel="0" collapsed="false">
      <c r="A7" s="13" t="s">
        <v>78</v>
      </c>
      <c r="B7" s="14"/>
      <c r="C7" s="14"/>
      <c r="D7" s="14"/>
    </row>
    <row r="8" customFormat="false" ht="15" hidden="false" customHeight="false" outlineLevel="0" collapsed="false">
      <c r="A8" s="2" t="s">
        <v>79</v>
      </c>
      <c r="B8" s="16" t="n">
        <v>0.06</v>
      </c>
      <c r="C8" s="2" t="s">
        <v>80</v>
      </c>
      <c r="D8" s="5" t="s">
        <v>81</v>
      </c>
    </row>
    <row r="9" customFormat="false" ht="15" hidden="false" customHeight="false" outlineLevel="0" collapsed="false">
      <c r="A9" s="2" t="s">
        <v>82</v>
      </c>
      <c r="B9" s="17" t="n">
        <v>20000000</v>
      </c>
      <c r="C9" s="2" t="s">
        <v>83</v>
      </c>
      <c r="D9" s="5" t="s">
        <v>84</v>
      </c>
    </row>
    <row r="10" customFormat="false" ht="15" hidden="false" customHeight="false" outlineLevel="0" collapsed="false">
      <c r="A10" s="2" t="s">
        <v>85</v>
      </c>
      <c r="B10" s="16" t="n">
        <v>0.05</v>
      </c>
      <c r="C10" s="2" t="s">
        <v>80</v>
      </c>
      <c r="D10" s="5" t="s">
        <v>86</v>
      </c>
    </row>
    <row r="11" customFormat="false" ht="15" hidden="false" customHeight="false" outlineLevel="0" collapsed="false">
      <c r="A11" s="2" t="s">
        <v>87</v>
      </c>
      <c r="B11" s="16" t="n">
        <v>0.015</v>
      </c>
      <c r="C11" s="2" t="s">
        <v>88</v>
      </c>
      <c r="D11" s="5" t="s">
        <v>89</v>
      </c>
    </row>
    <row r="12" customFormat="false" ht="15" hidden="false" customHeight="false" outlineLevel="0" collapsed="false">
      <c r="A12" s="13" t="s">
        <v>90</v>
      </c>
      <c r="B12" s="14"/>
      <c r="C12" s="14"/>
      <c r="D12" s="14"/>
    </row>
    <row r="13" customFormat="false" ht="15" hidden="false" customHeight="false" outlineLevel="0" collapsed="false">
      <c r="A13" s="2" t="s">
        <v>91</v>
      </c>
      <c r="B13" s="17" t="n">
        <v>60</v>
      </c>
      <c r="C13" s="2" t="s">
        <v>92</v>
      </c>
      <c r="D13" s="5" t="s">
        <v>93</v>
      </c>
    </row>
    <row r="14" customFormat="false" ht="15" hidden="false" customHeight="false" outlineLevel="0" collapsed="false">
      <c r="A14" s="2" t="s">
        <v>94</v>
      </c>
      <c r="B14" s="18" t="n">
        <v>180</v>
      </c>
      <c r="C14" s="2" t="s">
        <v>95</v>
      </c>
      <c r="D14" s="5" t="s">
        <v>96</v>
      </c>
    </row>
    <row r="15" customFormat="false" ht="15" hidden="false" customHeight="false" outlineLevel="0" collapsed="false">
      <c r="A15" s="2" t="s">
        <v>97</v>
      </c>
      <c r="B15" s="18" t="n">
        <v>230</v>
      </c>
      <c r="C15" s="2" t="s">
        <v>95</v>
      </c>
      <c r="D15" s="5" t="s">
        <v>98</v>
      </c>
    </row>
    <row r="16" customFormat="false" ht="15" hidden="false" customHeight="false" outlineLevel="0" collapsed="false">
      <c r="A16" s="2" t="s">
        <v>99</v>
      </c>
      <c r="B16" s="16" t="n">
        <v>0.5</v>
      </c>
      <c r="C16" s="2" t="s">
        <v>80</v>
      </c>
      <c r="D16" s="5" t="s">
        <v>100</v>
      </c>
    </row>
    <row r="17" customFormat="false" ht="15" hidden="false" customHeight="false" outlineLevel="0" collapsed="false">
      <c r="A17" s="2" t="s">
        <v>101</v>
      </c>
      <c r="B17" s="17" t="n">
        <v>1200</v>
      </c>
      <c r="C17" s="2" t="s">
        <v>102</v>
      </c>
      <c r="D17" s="5" t="s">
        <v>103</v>
      </c>
    </row>
    <row r="18" customFormat="false" ht="15" hidden="false" customHeight="false" outlineLevel="0" collapsed="false">
      <c r="A18" s="2" t="s">
        <v>104</v>
      </c>
      <c r="B18" s="17" t="n">
        <v>14</v>
      </c>
      <c r="C18" s="2" t="s">
        <v>105</v>
      </c>
      <c r="D18" s="5" t="s">
        <v>106</v>
      </c>
    </row>
    <row r="19" customFormat="false" ht="15" hidden="false" customHeight="false" outlineLevel="0" collapsed="false">
      <c r="A19" s="2" t="s">
        <v>107</v>
      </c>
      <c r="B19" s="19" t="n">
        <v>0.4</v>
      </c>
      <c r="C19" s="2" t="s">
        <v>88</v>
      </c>
      <c r="D19" s="5" t="s">
        <v>108</v>
      </c>
    </row>
    <row r="20" customFormat="false" ht="15" hidden="false" customHeight="false" outlineLevel="0" collapsed="false">
      <c r="A20" s="2" t="s">
        <v>109</v>
      </c>
      <c r="B20" s="17" t="n">
        <v>550</v>
      </c>
      <c r="C20" s="2" t="s">
        <v>110</v>
      </c>
      <c r="D20" s="5" t="s">
        <v>111</v>
      </c>
    </row>
    <row r="21" customFormat="false" ht="15" hidden="false" customHeight="false" outlineLevel="0" collapsed="false">
      <c r="A21" s="2" t="s">
        <v>112</v>
      </c>
      <c r="B21" s="17" t="n">
        <v>250</v>
      </c>
      <c r="C21" s="2" t="s">
        <v>110</v>
      </c>
      <c r="D21" s="5" t="s">
        <v>113</v>
      </c>
    </row>
    <row r="22" customFormat="false" ht="15" hidden="false" customHeight="false" outlineLevel="0" collapsed="false">
      <c r="A22" s="2" t="s">
        <v>114</v>
      </c>
      <c r="B22" s="17" t="n">
        <v>800</v>
      </c>
      <c r="C22" s="2" t="s">
        <v>110</v>
      </c>
      <c r="D22" s="5" t="s">
        <v>115</v>
      </c>
    </row>
    <row r="23" customFormat="false" ht="15" hidden="false" customHeight="false" outlineLevel="0" collapsed="false">
      <c r="A23" s="2" t="s">
        <v>116</v>
      </c>
      <c r="B23" s="16" t="n">
        <v>0.02</v>
      </c>
      <c r="C23" s="2" t="s">
        <v>88</v>
      </c>
      <c r="D23" s="5" t="s">
        <v>117</v>
      </c>
    </row>
    <row r="24" customFormat="false" ht="15" hidden="false" customHeight="false" outlineLevel="0" collapsed="false">
      <c r="A24" s="13" t="s">
        <v>118</v>
      </c>
      <c r="B24" s="14"/>
      <c r="C24" s="14"/>
      <c r="D24" s="14"/>
    </row>
    <row r="25" customFormat="false" ht="15" hidden="false" customHeight="false" outlineLevel="0" collapsed="false">
      <c r="A25" s="2" t="s">
        <v>91</v>
      </c>
      <c r="B25" s="17" t="n">
        <v>55</v>
      </c>
      <c r="C25" s="2" t="s">
        <v>92</v>
      </c>
      <c r="D25" s="5" t="s">
        <v>119</v>
      </c>
    </row>
    <row r="26" customFormat="false" ht="15" hidden="false" customHeight="false" outlineLevel="0" collapsed="false">
      <c r="A26" s="2" t="s">
        <v>120</v>
      </c>
      <c r="B26" s="18" t="n">
        <v>3900</v>
      </c>
      <c r="C26" s="2" t="s">
        <v>102</v>
      </c>
      <c r="D26" s="5" t="s">
        <v>121</v>
      </c>
    </row>
    <row r="27" customFormat="false" ht="15" hidden="false" customHeight="false" outlineLevel="0" collapsed="false">
      <c r="A27" s="2" t="s">
        <v>122</v>
      </c>
      <c r="B27" s="16" t="n">
        <v>0.12</v>
      </c>
      <c r="C27" s="2" t="s">
        <v>80</v>
      </c>
      <c r="D27" s="5" t="s">
        <v>123</v>
      </c>
    </row>
    <row r="28" customFormat="false" ht="15" hidden="false" customHeight="false" outlineLevel="0" collapsed="false">
      <c r="A28" s="2" t="s">
        <v>124</v>
      </c>
      <c r="B28" s="20" t="n">
        <v>3.5</v>
      </c>
      <c r="C28" s="2" t="s">
        <v>125</v>
      </c>
      <c r="D28" s="5" t="s">
        <v>126</v>
      </c>
    </row>
    <row r="29" customFormat="false" ht="15" hidden="false" customHeight="false" outlineLevel="0" collapsed="false">
      <c r="A29" s="2" t="s">
        <v>127</v>
      </c>
      <c r="B29" s="19" t="n">
        <v>0.45</v>
      </c>
      <c r="C29" s="2" t="s">
        <v>88</v>
      </c>
      <c r="D29" s="5" t="s">
        <v>128</v>
      </c>
    </row>
    <row r="30" customFormat="false" ht="15" hidden="false" customHeight="false" outlineLevel="0" collapsed="false">
      <c r="A30" s="2" t="s">
        <v>109</v>
      </c>
      <c r="B30" s="17" t="n">
        <v>150</v>
      </c>
      <c r="C30" s="2" t="s">
        <v>129</v>
      </c>
      <c r="D30" s="5" t="s">
        <v>130</v>
      </c>
    </row>
    <row r="31" customFormat="false" ht="15" hidden="false" customHeight="false" outlineLevel="0" collapsed="false">
      <c r="A31" s="2" t="s">
        <v>131</v>
      </c>
      <c r="B31" s="17" t="n">
        <v>60</v>
      </c>
      <c r="C31" s="2" t="s">
        <v>129</v>
      </c>
      <c r="D31" s="5" t="s">
        <v>132</v>
      </c>
    </row>
    <row r="32" customFormat="false" ht="15" hidden="false" customHeight="false" outlineLevel="0" collapsed="false">
      <c r="A32" s="2" t="s">
        <v>133</v>
      </c>
      <c r="B32" s="17" t="n">
        <v>300</v>
      </c>
      <c r="C32" s="2" t="s">
        <v>129</v>
      </c>
      <c r="D32" s="5" t="s">
        <v>134</v>
      </c>
    </row>
    <row r="33" customFormat="false" ht="15" hidden="false" customHeight="false" outlineLevel="0" collapsed="false">
      <c r="A33" s="2" t="s">
        <v>116</v>
      </c>
      <c r="B33" s="16" t="n">
        <v>0.015</v>
      </c>
      <c r="C33" s="2" t="s">
        <v>88</v>
      </c>
      <c r="D33" s="5" t="s">
        <v>135</v>
      </c>
    </row>
    <row r="34" customFormat="false" ht="15" hidden="false" customHeight="false" outlineLevel="0" collapsed="false">
      <c r="A34" s="2" t="s">
        <v>136</v>
      </c>
      <c r="B34" s="21" t="n">
        <v>2.8</v>
      </c>
      <c r="C34" s="2" t="s">
        <v>137</v>
      </c>
      <c r="D34" s="5" t="s">
        <v>138</v>
      </c>
    </row>
    <row r="35" customFormat="false" ht="15" hidden="false" customHeight="false" outlineLevel="0" collapsed="false">
      <c r="A35" s="13" t="s">
        <v>139</v>
      </c>
      <c r="B35" s="14"/>
      <c r="C35" s="14"/>
      <c r="D35" s="14"/>
    </row>
    <row r="36" customFormat="false" ht="15" hidden="false" customHeight="false" outlineLevel="0" collapsed="false">
      <c r="A36" s="2" t="s">
        <v>140</v>
      </c>
      <c r="B36" s="17" t="n">
        <v>4500</v>
      </c>
      <c r="C36" s="2" t="s">
        <v>102</v>
      </c>
      <c r="D36" s="5" t="s">
        <v>141</v>
      </c>
    </row>
    <row r="37" customFormat="false" ht="15" hidden="false" customHeight="false" outlineLevel="0" collapsed="false">
      <c r="A37" s="2" t="s">
        <v>142</v>
      </c>
      <c r="B37" s="17" t="n">
        <v>3</v>
      </c>
      <c r="C37" s="2" t="s">
        <v>105</v>
      </c>
      <c r="D37" s="5" t="s">
        <v>143</v>
      </c>
    </row>
    <row r="38" customFormat="false" ht="15" hidden="false" customHeight="false" outlineLevel="0" collapsed="false">
      <c r="A38" s="2" t="s">
        <v>144</v>
      </c>
      <c r="B38" s="16" t="n">
        <v>0.35</v>
      </c>
      <c r="C38" s="2" t="s">
        <v>88</v>
      </c>
      <c r="D38" s="5" t="s">
        <v>145</v>
      </c>
    </row>
    <row r="39" customFormat="false" ht="15" hidden="false" customHeight="false" outlineLevel="0" collapsed="false">
      <c r="A39" s="2" t="s">
        <v>146</v>
      </c>
      <c r="B39" s="17" t="n">
        <v>300</v>
      </c>
      <c r="C39" s="2" t="s">
        <v>110</v>
      </c>
      <c r="D39" s="5" t="s">
        <v>147</v>
      </c>
    </row>
    <row r="40" customFormat="false" ht="15" hidden="false" customHeight="false" outlineLevel="0" collapsed="false">
      <c r="A40" s="2" t="s">
        <v>148</v>
      </c>
      <c r="B40" s="17" t="n">
        <v>350</v>
      </c>
      <c r="C40" s="2" t="s">
        <v>110</v>
      </c>
      <c r="D40" s="5" t="s">
        <v>149</v>
      </c>
    </row>
    <row r="41" customFormat="false" ht="15" hidden="false" customHeight="false" outlineLevel="0" collapsed="false">
      <c r="A41" s="2" t="s">
        <v>114</v>
      </c>
      <c r="B41" s="17" t="n">
        <v>400</v>
      </c>
      <c r="C41" s="2" t="s">
        <v>110</v>
      </c>
      <c r="D41" s="5" t="s">
        <v>150</v>
      </c>
    </row>
    <row r="42" customFormat="false" ht="15" hidden="false" customHeight="false" outlineLevel="0" collapsed="false">
      <c r="A42" s="2" t="s">
        <v>116</v>
      </c>
      <c r="B42" s="16" t="n">
        <v>0.015</v>
      </c>
      <c r="C42" s="2" t="s">
        <v>88</v>
      </c>
      <c r="D42" s="5" t="s">
        <v>135</v>
      </c>
    </row>
    <row r="43" customFormat="false" ht="15" hidden="false" customHeight="false" outlineLevel="0" collapsed="false">
      <c r="A43" s="13" t="s">
        <v>151</v>
      </c>
      <c r="B43" s="14"/>
      <c r="C43" s="14"/>
      <c r="D43" s="14"/>
    </row>
    <row r="44" customFormat="false" ht="15" hidden="false" customHeight="false" outlineLevel="0" collapsed="false">
      <c r="A44" s="2" t="s">
        <v>152</v>
      </c>
      <c r="B44" s="17" t="n">
        <v>55000</v>
      </c>
      <c r="C44" s="2" t="s">
        <v>153</v>
      </c>
      <c r="D44" s="5" t="s">
        <v>154</v>
      </c>
    </row>
    <row r="45" customFormat="false" ht="15" hidden="false" customHeight="false" outlineLevel="0" collapsed="false">
      <c r="A45" s="2" t="s">
        <v>155</v>
      </c>
      <c r="B45" s="16" t="n">
        <v>0.68</v>
      </c>
      <c r="C45" s="2" t="s">
        <v>156</v>
      </c>
      <c r="D45" s="5" t="s">
        <v>157</v>
      </c>
    </row>
    <row r="46" customFormat="false" ht="15" hidden="false" customHeight="false" outlineLevel="0" collapsed="false">
      <c r="A46" s="13" t="s">
        <v>158</v>
      </c>
      <c r="B46" s="14"/>
      <c r="C46" s="14"/>
      <c r="D46" s="14"/>
    </row>
    <row r="47" customFormat="false" ht="15" hidden="false" customHeight="false" outlineLevel="0" collapsed="false">
      <c r="A47" s="2" t="s">
        <v>159</v>
      </c>
      <c r="B47" s="15" t="n">
        <v>2</v>
      </c>
      <c r="C47" s="2" t="s">
        <v>160</v>
      </c>
      <c r="D47" s="5" t="s">
        <v>161</v>
      </c>
    </row>
    <row r="48" customFormat="false" ht="15" hidden="false" customHeight="false" outlineLevel="0" collapsed="false">
      <c r="A48" s="2" t="s">
        <v>162</v>
      </c>
      <c r="B48" s="15" t="n">
        <v>1</v>
      </c>
      <c r="C48" s="2" t="s">
        <v>160</v>
      </c>
      <c r="D48" s="5"/>
    </row>
    <row r="49" customFormat="false" ht="15" hidden="false" customHeight="false" outlineLevel="0" collapsed="false">
      <c r="A49" s="2" t="s">
        <v>163</v>
      </c>
      <c r="B49" s="17" t="n">
        <v>1500</v>
      </c>
      <c r="C49" s="2" t="s">
        <v>102</v>
      </c>
      <c r="D49" s="5" t="s">
        <v>164</v>
      </c>
    </row>
    <row r="50" customFormat="false" ht="15" hidden="false" customHeight="false" outlineLevel="0" collapsed="false">
      <c r="A50" s="2" t="s">
        <v>165</v>
      </c>
      <c r="B50" s="17" t="n">
        <v>450</v>
      </c>
      <c r="C50" s="2" t="s">
        <v>102</v>
      </c>
      <c r="D50" s="5"/>
    </row>
    <row r="51" customFormat="false" ht="15" hidden="false" customHeight="false" outlineLevel="0" collapsed="false">
      <c r="A51" s="2" t="s">
        <v>166</v>
      </c>
      <c r="B51" s="17" t="n">
        <v>350</v>
      </c>
      <c r="C51" s="2" t="s">
        <v>102</v>
      </c>
      <c r="D51" s="5"/>
    </row>
    <row r="52" customFormat="false" ht="15" hidden="false" customHeight="false" outlineLevel="0" collapsed="false">
      <c r="A52" s="2" t="s">
        <v>167</v>
      </c>
      <c r="B52" s="15" t="n">
        <v>145</v>
      </c>
      <c r="C52" s="2" t="s">
        <v>168</v>
      </c>
      <c r="D52" s="5" t="s">
        <v>169</v>
      </c>
    </row>
    <row r="53" customFormat="false" ht="15" hidden="false" customHeight="false" outlineLevel="0" collapsed="false">
      <c r="A53" s="2" t="s">
        <v>170</v>
      </c>
      <c r="B53" s="17" t="n">
        <v>3500</v>
      </c>
      <c r="C53" s="2" t="s">
        <v>102</v>
      </c>
      <c r="D53" s="5" t="s">
        <v>164</v>
      </c>
    </row>
    <row r="54" customFormat="false" ht="15" hidden="false" customHeight="false" outlineLevel="0" collapsed="false">
      <c r="A54" s="2" t="s">
        <v>171</v>
      </c>
      <c r="B54" s="17" t="n">
        <v>900</v>
      </c>
      <c r="C54" s="2" t="s">
        <v>102</v>
      </c>
      <c r="D54" s="5"/>
    </row>
    <row r="55" customFormat="false" ht="15" hidden="false" customHeight="false" outlineLevel="0" collapsed="false">
      <c r="A55" s="2" t="s">
        <v>172</v>
      </c>
      <c r="B55" s="17" t="n">
        <v>700</v>
      </c>
      <c r="C55" s="2" t="s">
        <v>102</v>
      </c>
      <c r="D55" s="5"/>
    </row>
    <row r="56" customFormat="false" ht="15" hidden="false" customHeight="false" outlineLevel="0" collapsed="false">
      <c r="A56" s="2" t="s">
        <v>173</v>
      </c>
      <c r="B56" s="15" t="n">
        <v>285</v>
      </c>
      <c r="C56" s="2" t="s">
        <v>168</v>
      </c>
      <c r="D56" s="5" t="s">
        <v>169</v>
      </c>
    </row>
    <row r="57" customFormat="false" ht="15" hidden="false" customHeight="false" outlineLevel="0" collapsed="false">
      <c r="A57" s="2" t="s">
        <v>174</v>
      </c>
      <c r="B57" s="17" t="n">
        <v>5000</v>
      </c>
      <c r="C57" s="2" t="s">
        <v>102</v>
      </c>
      <c r="D57" s="5" t="s">
        <v>164</v>
      </c>
    </row>
    <row r="58" customFormat="false" ht="15" hidden="false" customHeight="false" outlineLevel="0" collapsed="false">
      <c r="A58" s="2" t="s">
        <v>175</v>
      </c>
      <c r="B58" s="17" t="n">
        <v>1300</v>
      </c>
      <c r="C58" s="2" t="s">
        <v>102</v>
      </c>
      <c r="D58" s="5"/>
    </row>
    <row r="59" customFormat="false" ht="15" hidden="false" customHeight="false" outlineLevel="0" collapsed="false">
      <c r="A59" s="2" t="s">
        <v>176</v>
      </c>
      <c r="B59" s="17" t="n">
        <v>1000</v>
      </c>
      <c r="C59" s="2" t="s">
        <v>102</v>
      </c>
      <c r="D59" s="5"/>
    </row>
    <row r="60" customFormat="false" ht="15" hidden="false" customHeight="false" outlineLevel="0" collapsed="false">
      <c r="A60" s="2" t="s">
        <v>177</v>
      </c>
      <c r="B60" s="15" t="n">
        <v>420</v>
      </c>
      <c r="C60" s="2" t="s">
        <v>168</v>
      </c>
      <c r="D60" s="5" t="s">
        <v>169</v>
      </c>
    </row>
    <row r="61" customFormat="false" ht="15" hidden="false" customHeight="false" outlineLevel="0" collapsed="false">
      <c r="A61" s="13" t="s">
        <v>178</v>
      </c>
      <c r="B61" s="14"/>
      <c r="C61" s="14"/>
      <c r="D61" s="14"/>
    </row>
    <row r="62" customFormat="false" ht="15" hidden="false" customHeight="false" outlineLevel="0" collapsed="false">
      <c r="A62" s="2" t="s">
        <v>179</v>
      </c>
      <c r="B62" s="15" t="n">
        <v>150</v>
      </c>
      <c r="C62" s="2" t="s">
        <v>125</v>
      </c>
      <c r="D62" s="5" t="s">
        <v>180</v>
      </c>
    </row>
    <row r="63" customFormat="false" ht="15" hidden="false" customHeight="false" outlineLevel="0" collapsed="false">
      <c r="A63" s="2" t="s">
        <v>181</v>
      </c>
      <c r="B63" s="15" t="n">
        <v>1</v>
      </c>
      <c r="C63" s="2" t="s">
        <v>182</v>
      </c>
      <c r="D63" s="5" t="s">
        <v>183</v>
      </c>
    </row>
    <row r="64" customFormat="false" ht="15" hidden="false" customHeight="false" outlineLevel="0" collapsed="false">
      <c r="A64" s="2" t="s">
        <v>184</v>
      </c>
      <c r="B64" s="16" t="n">
        <v>0.25</v>
      </c>
      <c r="C64" s="2" t="s">
        <v>88</v>
      </c>
      <c r="D64" s="5" t="s">
        <v>185</v>
      </c>
    </row>
    <row r="65" customFormat="false" ht="15" hidden="false" customHeight="false" outlineLevel="0" collapsed="false">
      <c r="A65" s="2" t="s">
        <v>186</v>
      </c>
      <c r="B65" s="15" t="n">
        <v>3</v>
      </c>
      <c r="C65" s="2" t="s">
        <v>187</v>
      </c>
      <c r="D65" s="5" t="s">
        <v>188</v>
      </c>
    </row>
    <row r="66" customFormat="false" ht="15" hidden="false" customHeight="false" outlineLevel="0" collapsed="false">
      <c r="A66" s="2" t="s">
        <v>189</v>
      </c>
      <c r="B66" s="15" t="n">
        <v>3</v>
      </c>
      <c r="C66" s="2" t="s">
        <v>77</v>
      </c>
      <c r="D66" s="5" t="s">
        <v>190</v>
      </c>
    </row>
    <row r="67" customFormat="false" ht="15" hidden="false" customHeight="false" outlineLevel="0" collapsed="false">
      <c r="A67" s="2" t="s">
        <v>191</v>
      </c>
      <c r="B67" s="16" t="n">
        <v>0.4</v>
      </c>
      <c r="C67" s="2" t="s">
        <v>80</v>
      </c>
      <c r="D67" s="5" t="s">
        <v>192</v>
      </c>
    </row>
    <row r="68" customFormat="false" ht="15" hidden="false" customHeight="false" outlineLevel="0" collapsed="false">
      <c r="A68" s="2" t="s">
        <v>193</v>
      </c>
      <c r="B68" s="16" t="n">
        <v>0.25</v>
      </c>
      <c r="C68" s="2" t="s">
        <v>80</v>
      </c>
      <c r="D68" s="5" t="s">
        <v>194</v>
      </c>
    </row>
    <row r="69" customFormat="false" ht="15" hidden="false" customHeight="false" outlineLevel="0" collapsed="false">
      <c r="A69" s="13" t="s">
        <v>195</v>
      </c>
      <c r="B69" s="14"/>
      <c r="C69" s="14"/>
      <c r="D69" s="14"/>
    </row>
    <row r="70" customFormat="false" ht="15" hidden="false" customHeight="false" outlineLevel="0" collapsed="false">
      <c r="A70" s="2" t="s">
        <v>196</v>
      </c>
      <c r="B70" s="22" t="n">
        <v>0.7</v>
      </c>
      <c r="C70" s="2" t="s">
        <v>197</v>
      </c>
      <c r="D70" s="5" t="s">
        <v>198</v>
      </c>
    </row>
    <row r="71" customFormat="false" ht="15" hidden="false" customHeight="false" outlineLevel="0" collapsed="false">
      <c r="A71" s="2" t="s">
        <v>199</v>
      </c>
      <c r="B71" s="22" t="n">
        <v>0.8</v>
      </c>
      <c r="C71" s="2" t="s">
        <v>197</v>
      </c>
    </row>
    <row r="72" customFormat="false" ht="15" hidden="false" customHeight="false" outlineLevel="0" collapsed="false">
      <c r="A72" s="2" t="s">
        <v>200</v>
      </c>
      <c r="B72" s="22" t="n">
        <v>0.95</v>
      </c>
      <c r="C72" s="2" t="s">
        <v>197</v>
      </c>
    </row>
    <row r="73" customFormat="false" ht="15" hidden="false" customHeight="false" outlineLevel="0" collapsed="false">
      <c r="A73" s="2" t="s">
        <v>201</v>
      </c>
      <c r="B73" s="22" t="n">
        <v>1.15</v>
      </c>
      <c r="C73" s="2" t="s">
        <v>197</v>
      </c>
    </row>
    <row r="74" customFormat="false" ht="15" hidden="false" customHeight="false" outlineLevel="0" collapsed="false">
      <c r="A74" s="2" t="s">
        <v>202</v>
      </c>
      <c r="B74" s="22" t="n">
        <v>1.25</v>
      </c>
      <c r="C74" s="2" t="s">
        <v>197</v>
      </c>
    </row>
    <row r="75" customFormat="false" ht="15" hidden="false" customHeight="false" outlineLevel="0" collapsed="false">
      <c r="A75" s="2" t="s">
        <v>203</v>
      </c>
      <c r="B75" s="22" t="n">
        <v>1.1</v>
      </c>
      <c r="C75" s="2" t="s">
        <v>197</v>
      </c>
    </row>
    <row r="76" customFormat="false" ht="15" hidden="false" customHeight="false" outlineLevel="0" collapsed="false">
      <c r="A76" s="2" t="s">
        <v>204</v>
      </c>
      <c r="B76" s="22" t="n">
        <v>0.9</v>
      </c>
      <c r="C76" s="2" t="s">
        <v>197</v>
      </c>
    </row>
    <row r="77" customFormat="false" ht="15" hidden="false" customHeight="false" outlineLevel="0" collapsed="false">
      <c r="A77" s="2" t="s">
        <v>205</v>
      </c>
      <c r="B77" s="22" t="n">
        <v>1.05</v>
      </c>
      <c r="C77" s="2" t="s">
        <v>197</v>
      </c>
    </row>
    <row r="78" customFormat="false" ht="15" hidden="false" customHeight="false" outlineLevel="0" collapsed="false">
      <c r="A78" s="2" t="s">
        <v>206</v>
      </c>
      <c r="B78" s="22" t="n">
        <v>1.1</v>
      </c>
      <c r="C78" s="2" t="s">
        <v>197</v>
      </c>
    </row>
    <row r="79" customFormat="false" ht="15" hidden="false" customHeight="false" outlineLevel="0" collapsed="false">
      <c r="A79" s="2" t="s">
        <v>207</v>
      </c>
      <c r="B79" s="22" t="n">
        <v>1</v>
      </c>
      <c r="C79" s="2" t="s">
        <v>197</v>
      </c>
    </row>
    <row r="80" customFormat="false" ht="15" hidden="false" customHeight="false" outlineLevel="0" collapsed="false">
      <c r="A80" s="2" t="s">
        <v>208</v>
      </c>
      <c r="B80" s="22" t="n">
        <v>0.95</v>
      </c>
      <c r="C80" s="2" t="s">
        <v>197</v>
      </c>
    </row>
    <row r="81" customFormat="false" ht="15" hidden="false" customHeight="false" outlineLevel="0" collapsed="false">
      <c r="A81" s="2" t="s">
        <v>209</v>
      </c>
      <c r="B81" s="22" t="n">
        <v>1.2</v>
      </c>
      <c r="C81" s="2" t="s">
        <v>197</v>
      </c>
    </row>
    <row r="82" customFormat="false" ht="15" hidden="false" customHeight="false" outlineLevel="0" collapsed="false">
      <c r="A82" s="13" t="s">
        <v>210</v>
      </c>
      <c r="B82" s="14"/>
      <c r="C82" s="14"/>
      <c r="D82" s="14"/>
    </row>
    <row r="83" customFormat="false" ht="15" hidden="false" customHeight="false" outlineLevel="0" collapsed="false">
      <c r="A83" s="2" t="s">
        <v>211</v>
      </c>
      <c r="B83" s="17" t="n">
        <v>70000</v>
      </c>
      <c r="C83" s="2" t="s">
        <v>153</v>
      </c>
    </row>
    <row r="84" customFormat="false" ht="15" hidden="false" customHeight="false" outlineLevel="0" collapsed="false">
      <c r="A84" s="2" t="s">
        <v>212</v>
      </c>
      <c r="B84" s="17" t="n">
        <v>25000</v>
      </c>
      <c r="C84" s="2" t="s">
        <v>153</v>
      </c>
    </row>
    <row r="85" customFormat="false" ht="15" hidden="false" customHeight="false" outlineLevel="0" collapsed="false">
      <c r="A85" s="2" t="s">
        <v>213</v>
      </c>
      <c r="B85" s="17" t="n">
        <v>15000</v>
      </c>
      <c r="C85" s="2" t="s">
        <v>153</v>
      </c>
    </row>
    <row r="86" customFormat="false" ht="15" hidden="false" customHeight="false" outlineLevel="0" collapsed="false">
      <c r="A86" s="2" t="s">
        <v>214</v>
      </c>
      <c r="B86" s="17" t="n">
        <v>9000</v>
      </c>
      <c r="C86" s="2" t="s">
        <v>153</v>
      </c>
    </row>
    <row r="87" customFormat="false" ht="15" hidden="false" customHeight="false" outlineLevel="0" collapsed="false">
      <c r="A87" s="2" t="s">
        <v>215</v>
      </c>
      <c r="B87" s="17" t="n">
        <v>6100</v>
      </c>
      <c r="C87" s="2" t="s">
        <v>153</v>
      </c>
    </row>
    <row r="88" customFormat="false" ht="15" hidden="false" customHeight="false" outlineLevel="0" collapsed="false">
      <c r="A88" s="2" t="s">
        <v>216</v>
      </c>
      <c r="B88" s="17" t="n">
        <v>10000</v>
      </c>
      <c r="C88" s="2" t="s">
        <v>153</v>
      </c>
    </row>
    <row r="89" customFormat="false" ht="15" hidden="false" customHeight="false" outlineLevel="0" collapsed="false">
      <c r="A89" s="2" t="s">
        <v>217</v>
      </c>
      <c r="B89" s="17" t="n">
        <v>25000</v>
      </c>
      <c r="C89" s="2" t="s">
        <v>153</v>
      </c>
    </row>
    <row r="90" customFormat="false" ht="15" hidden="false" customHeight="false" outlineLevel="0" collapsed="false">
      <c r="A90" s="2" t="s">
        <v>218</v>
      </c>
      <c r="B90" s="17" t="n">
        <v>9000</v>
      </c>
      <c r="C90" s="2" t="s">
        <v>153</v>
      </c>
    </row>
    <row r="91" customFormat="false" ht="15" hidden="false" customHeight="false" outlineLevel="0" collapsed="false">
      <c r="A91" s="2" t="s">
        <v>219</v>
      </c>
      <c r="B91" s="17" t="n">
        <v>2500</v>
      </c>
      <c r="C91" s="2" t="s">
        <v>153</v>
      </c>
    </row>
    <row r="92" customFormat="false" ht="15" hidden="false" customHeight="false" outlineLevel="0" collapsed="false">
      <c r="A92" s="2" t="s">
        <v>220</v>
      </c>
      <c r="B92" s="17" t="n">
        <v>8000</v>
      </c>
      <c r="C92" s="2" t="s">
        <v>153</v>
      </c>
    </row>
    <row r="93" customFormat="false" ht="15" hidden="false" customHeight="false" outlineLevel="0" collapsed="false">
      <c r="A93" s="10" t="s">
        <v>221</v>
      </c>
      <c r="B93" s="11" t="n">
        <f aca="false">SUM(B83:B92)</f>
        <v>179600</v>
      </c>
      <c r="D93" s="5" t="s">
        <v>222</v>
      </c>
    </row>
    <row r="94" customFormat="false" ht="15" hidden="false" customHeight="false" outlineLevel="0" collapsed="false">
      <c r="A94" s="2" t="s">
        <v>223</v>
      </c>
      <c r="B94" s="18" t="n">
        <v>70000</v>
      </c>
      <c r="C94" s="2" t="s">
        <v>153</v>
      </c>
      <c r="D94" s="5" t="s">
        <v>224</v>
      </c>
    </row>
    <row r="95" customFormat="false" ht="15" hidden="false" customHeight="false" outlineLevel="0" collapsed="false">
      <c r="A95" s="2" t="s">
        <v>225</v>
      </c>
      <c r="B95" s="17" t="n">
        <v>1500000</v>
      </c>
      <c r="C95" s="2" t="s">
        <v>153</v>
      </c>
      <c r="D95" s="5" t="s">
        <v>226</v>
      </c>
    </row>
    <row r="96" customFormat="false" ht="15" hidden="false" customHeight="false" outlineLevel="0" collapsed="false">
      <c r="A96" s="13" t="s">
        <v>227</v>
      </c>
      <c r="B96" s="14"/>
      <c r="C96" s="14"/>
      <c r="D96" s="14"/>
    </row>
    <row r="97" customFormat="false" ht="15" hidden="false" customHeight="false" outlineLevel="0" collapsed="false">
      <c r="A97" s="3" t="s">
        <v>228</v>
      </c>
      <c r="B97" s="3" t="s">
        <v>229</v>
      </c>
      <c r="C97" s="3" t="s">
        <v>230</v>
      </c>
      <c r="D97" s="3" t="s">
        <v>231</v>
      </c>
    </row>
    <row r="98" customFormat="false" ht="15" hidden="false" customHeight="false" outlineLevel="0" collapsed="false">
      <c r="A98" s="2" t="s">
        <v>232</v>
      </c>
      <c r="B98" s="17" t="n">
        <v>55000</v>
      </c>
      <c r="C98" s="15" t="n">
        <v>1</v>
      </c>
      <c r="D98" s="9" t="n">
        <f aca="false">B98*C98</f>
        <v>55000</v>
      </c>
    </row>
    <row r="99" customFormat="false" ht="15" hidden="false" customHeight="false" outlineLevel="0" collapsed="false">
      <c r="A99" s="2" t="s">
        <v>233</v>
      </c>
      <c r="B99" s="17" t="n">
        <v>40000</v>
      </c>
      <c r="C99" s="15" t="n">
        <v>1</v>
      </c>
      <c r="D99" s="9" t="n">
        <f aca="false">B99*C99</f>
        <v>40000</v>
      </c>
    </row>
    <row r="100" customFormat="false" ht="15" hidden="false" customHeight="false" outlineLevel="0" collapsed="false">
      <c r="A100" s="2" t="s">
        <v>234</v>
      </c>
      <c r="B100" s="17" t="n">
        <v>22000</v>
      </c>
      <c r="C100" s="15" t="n">
        <v>2</v>
      </c>
      <c r="D100" s="9" t="n">
        <f aca="false">B100*C100</f>
        <v>44000</v>
      </c>
    </row>
    <row r="101" customFormat="false" ht="15" hidden="false" customHeight="false" outlineLevel="0" collapsed="false">
      <c r="A101" s="2" t="s">
        <v>235</v>
      </c>
      <c r="B101" s="17" t="n">
        <v>30000</v>
      </c>
      <c r="C101" s="15" t="n">
        <v>2</v>
      </c>
      <c r="D101" s="9" t="n">
        <f aca="false">B101*C101</f>
        <v>60000</v>
      </c>
    </row>
    <row r="102" customFormat="false" ht="15" hidden="false" customHeight="false" outlineLevel="0" collapsed="false">
      <c r="A102" s="2" t="s">
        <v>236</v>
      </c>
      <c r="B102" s="17" t="n">
        <v>15000</v>
      </c>
      <c r="C102" s="15" t="n">
        <v>2</v>
      </c>
      <c r="D102" s="9" t="n">
        <f aca="false">B102*C102</f>
        <v>30000</v>
      </c>
    </row>
    <row r="103" customFormat="false" ht="15" hidden="false" customHeight="false" outlineLevel="0" collapsed="false">
      <c r="A103" s="2" t="s">
        <v>237</v>
      </c>
      <c r="B103" s="17" t="n">
        <v>6000</v>
      </c>
      <c r="C103" s="15" t="n">
        <v>2</v>
      </c>
      <c r="D103" s="9" t="n">
        <f aca="false">B103*C103</f>
        <v>12000</v>
      </c>
    </row>
    <row r="104" customFormat="false" ht="15" hidden="false" customHeight="false" outlineLevel="0" collapsed="false">
      <c r="A104" s="2" t="s">
        <v>238</v>
      </c>
      <c r="B104" s="17" t="n">
        <v>18000</v>
      </c>
      <c r="C104" s="15" t="n">
        <v>2</v>
      </c>
      <c r="D104" s="9" t="n">
        <f aca="false">B104*C104</f>
        <v>36000</v>
      </c>
    </row>
    <row r="105" customFormat="false" ht="15" hidden="false" customHeight="false" outlineLevel="0" collapsed="false">
      <c r="A105" s="2" t="s">
        <v>239</v>
      </c>
      <c r="B105" s="17" t="n">
        <v>3500</v>
      </c>
      <c r="C105" s="15" t="n">
        <v>10</v>
      </c>
      <c r="D105" s="9" t="n">
        <f aca="false">B105*C105</f>
        <v>35000</v>
      </c>
    </row>
    <row r="106" customFormat="false" ht="15" hidden="false" customHeight="false" outlineLevel="0" collapsed="false">
      <c r="A106" s="2" t="s">
        <v>240</v>
      </c>
      <c r="B106" s="17" t="n">
        <v>45000</v>
      </c>
      <c r="C106" s="15" t="n">
        <v>1</v>
      </c>
      <c r="D106" s="9" t="n">
        <f aca="false">B106*C106</f>
        <v>45000</v>
      </c>
    </row>
    <row r="107" customFormat="false" ht="15" hidden="false" customHeight="false" outlineLevel="0" collapsed="false">
      <c r="A107" s="2" t="s">
        <v>241</v>
      </c>
      <c r="B107" s="17" t="n">
        <v>25000</v>
      </c>
      <c r="C107" s="15" t="n">
        <v>1</v>
      </c>
      <c r="D107" s="9" t="n">
        <f aca="false">B107*C107</f>
        <v>25000</v>
      </c>
    </row>
    <row r="108" customFormat="false" ht="15" hidden="false" customHeight="false" outlineLevel="0" collapsed="false">
      <c r="A108" s="2" t="s">
        <v>242</v>
      </c>
      <c r="B108" s="17" t="n">
        <v>20000</v>
      </c>
      <c r="C108" s="15" t="n">
        <v>1</v>
      </c>
      <c r="D108" s="9" t="n">
        <f aca="false">B108*C108</f>
        <v>20000</v>
      </c>
    </row>
    <row r="109" customFormat="false" ht="15" hidden="false" customHeight="false" outlineLevel="0" collapsed="false">
      <c r="A109" s="2" t="s">
        <v>243</v>
      </c>
      <c r="B109" s="17" t="n">
        <v>30000</v>
      </c>
      <c r="C109" s="15" t="n">
        <v>1</v>
      </c>
      <c r="D109" s="9" t="n">
        <f aca="false">B109*C109</f>
        <v>30000</v>
      </c>
    </row>
    <row r="110" customFormat="false" ht="15" hidden="false" customHeight="false" outlineLevel="0" collapsed="false">
      <c r="A110" s="2" t="s">
        <v>244</v>
      </c>
      <c r="B110" s="17" t="n">
        <v>40000</v>
      </c>
      <c r="C110" s="15" t="n">
        <v>1</v>
      </c>
      <c r="D110" s="9" t="n">
        <f aca="false">B110*C110</f>
        <v>40000</v>
      </c>
    </row>
    <row r="111" customFormat="false" ht="15" hidden="false" customHeight="false" outlineLevel="0" collapsed="false">
      <c r="A111" s="10" t="s">
        <v>245</v>
      </c>
      <c r="D111" s="11" t="n">
        <f aca="false">SUM(D98:D110)</f>
        <v>472000</v>
      </c>
    </row>
    <row r="112" customFormat="false" ht="15" hidden="false" customHeight="false" outlineLevel="0" collapsed="false">
      <c r="A112" s="13" t="s">
        <v>246</v>
      </c>
      <c r="B112" s="14"/>
      <c r="C112" s="14"/>
      <c r="D112" s="14"/>
    </row>
    <row r="113" customFormat="false" ht="15" hidden="false" customHeight="false" outlineLevel="0" collapsed="false">
      <c r="A113" s="3" t="s">
        <v>228</v>
      </c>
      <c r="B113" s="3" t="s">
        <v>229</v>
      </c>
      <c r="C113" s="3" t="s">
        <v>230</v>
      </c>
      <c r="D113" s="3" t="s">
        <v>231</v>
      </c>
    </row>
    <row r="114" customFormat="false" ht="15" hidden="false" customHeight="false" outlineLevel="0" collapsed="false">
      <c r="A114" s="2" t="s">
        <v>247</v>
      </c>
      <c r="B114" s="17" t="n">
        <v>200000</v>
      </c>
      <c r="C114" s="15" t="n">
        <v>1</v>
      </c>
      <c r="D114" s="9" t="n">
        <f aca="false">B114*C114</f>
        <v>200000</v>
      </c>
    </row>
    <row r="115" customFormat="false" ht="15" hidden="false" customHeight="false" outlineLevel="0" collapsed="false">
      <c r="A115" s="2" t="s">
        <v>248</v>
      </c>
      <c r="B115" s="17" t="n">
        <v>55000</v>
      </c>
      <c r="C115" s="15" t="n">
        <v>1</v>
      </c>
      <c r="D115" s="9" t="n">
        <f aca="false">B115*C115</f>
        <v>55000</v>
      </c>
    </row>
    <row r="116" customFormat="false" ht="15" hidden="false" customHeight="false" outlineLevel="0" collapsed="false">
      <c r="A116" s="2" t="s">
        <v>249</v>
      </c>
      <c r="B116" s="17" t="n">
        <v>80000</v>
      </c>
      <c r="C116" s="15" t="n">
        <v>1</v>
      </c>
      <c r="D116" s="9" t="n">
        <f aca="false">B116*C116</f>
        <v>80000</v>
      </c>
    </row>
    <row r="117" customFormat="false" ht="15" hidden="false" customHeight="false" outlineLevel="0" collapsed="false">
      <c r="A117" s="10" t="s">
        <v>245</v>
      </c>
      <c r="D117" s="11" t="n">
        <f aca="false">SUM(D114:D116)</f>
        <v>335000</v>
      </c>
    </row>
    <row r="118" customFormat="false" ht="15" hidden="false" customHeight="false" outlineLevel="0" collapsed="false">
      <c r="A118" s="13" t="s">
        <v>250</v>
      </c>
      <c r="B118" s="14"/>
      <c r="C118" s="14"/>
      <c r="D118" s="14"/>
    </row>
    <row r="119" customFormat="false" ht="15" hidden="false" customHeight="false" outlineLevel="0" collapsed="false">
      <c r="A119" s="2" t="s">
        <v>251</v>
      </c>
      <c r="B119" s="17" t="n">
        <v>15000</v>
      </c>
      <c r="C119" s="2" t="s">
        <v>102</v>
      </c>
    </row>
    <row r="120" customFormat="false" ht="15" hidden="false" customHeight="false" outlineLevel="0" collapsed="false">
      <c r="A120" s="2" t="s">
        <v>252</v>
      </c>
      <c r="B120" s="17" t="n">
        <v>32000</v>
      </c>
      <c r="C120" s="2" t="s">
        <v>102</v>
      </c>
    </row>
    <row r="121" customFormat="false" ht="15" hidden="false" customHeight="false" outlineLevel="0" collapsed="false">
      <c r="A121" s="2" t="s">
        <v>253</v>
      </c>
      <c r="B121" s="17" t="n">
        <v>20000</v>
      </c>
      <c r="C121" s="2" t="s">
        <v>102</v>
      </c>
    </row>
    <row r="122" customFormat="false" ht="15" hidden="false" customHeight="false" outlineLevel="0" collapsed="false">
      <c r="A122" s="2" t="s">
        <v>254</v>
      </c>
      <c r="B122" s="17" t="n">
        <v>15000</v>
      </c>
      <c r="C122" s="2" t="s">
        <v>102</v>
      </c>
    </row>
    <row r="123" customFormat="false" ht="15" hidden="false" customHeight="false" outlineLevel="0" collapsed="false">
      <c r="A123" s="2" t="s">
        <v>255</v>
      </c>
      <c r="B123" s="17" t="n">
        <v>20000</v>
      </c>
      <c r="C123" s="2" t="s">
        <v>102</v>
      </c>
    </row>
    <row r="124" customFormat="false" ht="15" hidden="false" customHeight="false" outlineLevel="0" collapsed="false">
      <c r="A124" s="10" t="s">
        <v>256</v>
      </c>
      <c r="B124" s="11" t="n">
        <f aca="false">SUM(B119:B123)</f>
        <v>102000</v>
      </c>
    </row>
    <row r="125" customFormat="false" ht="15" hidden="false" customHeight="false" outlineLevel="0" collapsed="false">
      <c r="A125" s="2" t="s">
        <v>257</v>
      </c>
      <c r="B125" s="22" t="n">
        <v>1.2</v>
      </c>
      <c r="C125" s="2" t="s">
        <v>187</v>
      </c>
      <c r="D125" s="5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259</v>
      </c>
    </row>
    <row r="3" customFormat="false" ht="26.85" hidden="false" customHeight="false" outlineLevel="0" collapsed="false">
      <c r="A3" s="3" t="s">
        <v>68</v>
      </c>
      <c r="B3" s="3" t="s">
        <v>21</v>
      </c>
      <c r="C3" s="3" t="s">
        <v>22</v>
      </c>
      <c r="D3" s="3" t="s">
        <v>23</v>
      </c>
    </row>
    <row r="4" customFormat="false" ht="15" hidden="false" customHeight="false" outlineLevel="0" collapsed="false">
      <c r="A4" s="2" t="s">
        <v>260</v>
      </c>
      <c r="B4" s="15" t="n">
        <v>8</v>
      </c>
      <c r="C4" s="15" t="n">
        <v>12</v>
      </c>
      <c r="D4" s="15" t="n">
        <v>18</v>
      </c>
    </row>
    <row r="5" customFormat="false" ht="15" hidden="false" customHeight="false" outlineLevel="0" collapsed="false">
      <c r="A5" s="2" t="s">
        <v>261</v>
      </c>
      <c r="B5" s="23" t="n">
        <v>28</v>
      </c>
      <c r="C5" s="23" t="n">
        <v>45</v>
      </c>
      <c r="D5" s="23" t="n">
        <v>60</v>
      </c>
    </row>
    <row r="6" customFormat="false" ht="15" hidden="false" customHeight="false" outlineLevel="0" collapsed="false">
      <c r="A6" s="2" t="s">
        <v>262</v>
      </c>
      <c r="B6" s="16" t="n">
        <v>0.02</v>
      </c>
      <c r="C6" s="16" t="n">
        <v>0.04</v>
      </c>
      <c r="D6" s="16" t="n">
        <v>0.05</v>
      </c>
    </row>
    <row r="7" customFormat="false" ht="15" hidden="false" customHeight="false" outlineLevel="0" collapsed="false">
      <c r="A7" s="2" t="s">
        <v>263</v>
      </c>
      <c r="B7" s="15" t="n">
        <v>60</v>
      </c>
      <c r="C7" s="17" t="n">
        <v>110</v>
      </c>
      <c r="D7" s="17" t="n">
        <v>140</v>
      </c>
    </row>
    <row r="8" customFormat="false" ht="15" hidden="false" customHeight="false" outlineLevel="0" collapsed="false">
      <c r="A8" s="2" t="s">
        <v>264</v>
      </c>
      <c r="B8" s="15" t="n">
        <v>2</v>
      </c>
      <c r="C8" s="15" t="n">
        <v>4</v>
      </c>
      <c r="D8" s="15" t="n">
        <v>6</v>
      </c>
    </row>
    <row r="9" customFormat="false" ht="15" hidden="false" customHeight="false" outlineLevel="0" collapsed="false">
      <c r="A9" s="2" t="s">
        <v>265</v>
      </c>
      <c r="B9" s="23" t="n">
        <v>7</v>
      </c>
      <c r="C9" s="23" t="n">
        <v>14</v>
      </c>
      <c r="D9" s="23" t="n">
        <v>20</v>
      </c>
    </row>
    <row r="10" customFormat="false" ht="15" hidden="false" customHeight="false" outlineLevel="0" collapsed="false">
      <c r="A10" s="2" t="s">
        <v>266</v>
      </c>
      <c r="B10" s="16" t="n">
        <v>0.01</v>
      </c>
      <c r="C10" s="16" t="n">
        <v>0.03</v>
      </c>
      <c r="D10" s="16" t="n">
        <v>0.035</v>
      </c>
    </row>
    <row r="11" customFormat="false" ht="15" hidden="false" customHeight="false" outlineLevel="0" collapsed="false">
      <c r="A11" s="2" t="s">
        <v>267</v>
      </c>
      <c r="B11" s="19" t="n">
        <v>0.12</v>
      </c>
      <c r="C11" s="19" t="n">
        <v>0.09</v>
      </c>
      <c r="D11" s="19" t="n">
        <v>0.07</v>
      </c>
    </row>
    <row r="12" customFormat="false" ht="15" hidden="false" customHeight="false" outlineLevel="0" collapsed="false">
      <c r="A12" s="2" t="s">
        <v>268</v>
      </c>
      <c r="B12" s="16" t="n">
        <v>0.3</v>
      </c>
      <c r="C12" s="16" t="n">
        <v>0.45</v>
      </c>
      <c r="D12" s="16" t="n">
        <v>0.6</v>
      </c>
    </row>
    <row r="13" customFormat="false" ht="15" hidden="false" customHeight="false" outlineLevel="0" collapsed="false">
      <c r="A13" s="2" t="s">
        <v>269</v>
      </c>
      <c r="B13" s="15" t="n">
        <v>7</v>
      </c>
      <c r="C13" s="15" t="n">
        <v>4</v>
      </c>
      <c r="D13" s="15" t="n">
        <v>3</v>
      </c>
    </row>
    <row r="14" customFormat="false" ht="15" hidden="false" customHeight="false" outlineLevel="0" collapsed="false">
      <c r="A14" s="2" t="s">
        <v>270</v>
      </c>
      <c r="B14" s="15" t="n">
        <v>6</v>
      </c>
      <c r="C14" s="15" t="n">
        <v>3</v>
      </c>
      <c r="D14" s="15" t="n">
        <v>2</v>
      </c>
    </row>
    <row r="15" customFormat="false" ht="15" hidden="false" customHeight="false" outlineLevel="0" collapsed="false">
      <c r="A15" s="2" t="s">
        <v>271</v>
      </c>
      <c r="B15" s="15" t="n">
        <v>2</v>
      </c>
      <c r="C15" s="15" t="n">
        <v>5</v>
      </c>
      <c r="D15" s="15" t="n">
        <v>7</v>
      </c>
    </row>
    <row r="16" customFormat="false" ht="15" hidden="false" customHeight="false" outlineLevel="0" collapsed="false">
      <c r="A16" s="2" t="s">
        <v>272</v>
      </c>
      <c r="B16" s="18" t="n">
        <v>1600</v>
      </c>
      <c r="C16" s="18" t="n">
        <v>1200</v>
      </c>
      <c r="D16" s="18" t="n">
        <v>1000</v>
      </c>
    </row>
    <row r="17" customFormat="false" ht="15" hidden="false" customHeight="false" outlineLevel="0" collapsed="false">
      <c r="A17" s="2" t="s">
        <v>273</v>
      </c>
      <c r="B17" s="18" t="n">
        <v>4500</v>
      </c>
      <c r="C17" s="18" t="n">
        <v>3000</v>
      </c>
      <c r="D17" s="18" t="n">
        <v>2500</v>
      </c>
    </row>
    <row r="18" customFormat="false" ht="15" hidden="false" customHeight="false" outlineLevel="0" collapsed="false">
      <c r="A18" s="2" t="s">
        <v>274</v>
      </c>
      <c r="B18" s="17" t="n">
        <v>600</v>
      </c>
      <c r="C18" s="17" t="n">
        <v>500</v>
      </c>
      <c r="D18" s="17" t="n">
        <v>400</v>
      </c>
    </row>
    <row r="19" customFormat="false" ht="15" hidden="false" customHeight="false" outlineLevel="0" collapsed="false">
      <c r="A19" s="2" t="s">
        <v>275</v>
      </c>
      <c r="B19" s="15" t="n">
        <v>10</v>
      </c>
      <c r="C19" s="15" t="n">
        <v>6</v>
      </c>
      <c r="D19" s="15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8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276</v>
      </c>
    </row>
    <row r="3" customFormat="false" ht="15" hidden="false" customHeight="false" outlineLevel="0" collapsed="false">
      <c r="A3" s="3" t="s">
        <v>277</v>
      </c>
      <c r="B3" s="3" t="s">
        <v>278</v>
      </c>
      <c r="C3" s="3" t="s">
        <v>279</v>
      </c>
      <c r="D3" s="3" t="s">
        <v>24</v>
      </c>
    </row>
    <row r="4" customFormat="false" ht="15" hidden="false" customHeight="false" outlineLevel="0" collapsed="false">
      <c r="A4" s="2" t="s">
        <v>280</v>
      </c>
      <c r="B4" s="9" t="n">
        <f aca="false">UA_price_general_m2*(1-UA_share_repair)+UA_price_repair_m2*UA_share_repair</f>
        <v>205</v>
      </c>
    </row>
    <row r="5" customFormat="false" ht="15" hidden="false" customHeight="false" outlineLevel="0" collapsed="false">
      <c r="A5" s="10" t="s">
        <v>281</v>
      </c>
      <c r="B5" s="11" t="n">
        <f aca="false">UA_area*price_m2_a+UA_upsell</f>
        <v>13500</v>
      </c>
      <c r="C5" s="24" t="n">
        <f aca="false">IF(aov_a=0,0,B5/aov_a)</f>
        <v>1</v>
      </c>
      <c r="D5" s="5" t="s">
        <v>282</v>
      </c>
    </row>
    <row r="6" customFormat="false" ht="15" hidden="false" customHeight="false" outlineLevel="0" collapsed="false">
      <c r="A6" s="2" t="s">
        <v>107</v>
      </c>
      <c r="B6" s="9" t="n">
        <f aca="false">aov_a*UA_labor_share</f>
        <v>5400</v>
      </c>
      <c r="C6" s="24" t="n">
        <f aca="false">IF(aov_a=0,0,B6/aov_a)</f>
        <v>0.4</v>
      </c>
    </row>
    <row r="7" customFormat="false" ht="15" hidden="false" customHeight="false" outlineLevel="0" collapsed="false">
      <c r="A7" s="2" t="s">
        <v>109</v>
      </c>
      <c r="B7" s="9" t="n">
        <f aca="false">UA_chem</f>
        <v>550</v>
      </c>
      <c r="C7" s="24" t="n">
        <f aca="false">IF(aov_a=0,0,B7/aov_a)</f>
        <v>0.0407407407407407</v>
      </c>
    </row>
    <row r="8" customFormat="false" ht="15" hidden="false" customHeight="false" outlineLevel="0" collapsed="false">
      <c r="A8" s="2" t="s">
        <v>112</v>
      </c>
      <c r="B8" s="9" t="n">
        <f aca="false">UA_amort</f>
        <v>250</v>
      </c>
      <c r="C8" s="24" t="n">
        <f aca="false">IF(aov_a=0,0,B8/aov_a)</f>
        <v>0.0185185185185185</v>
      </c>
    </row>
    <row r="9" customFormat="false" ht="15" hidden="false" customHeight="false" outlineLevel="0" collapsed="false">
      <c r="A9" s="2" t="s">
        <v>114</v>
      </c>
      <c r="B9" s="9" t="n">
        <f aca="false">UA_logistics</f>
        <v>800</v>
      </c>
      <c r="C9" s="24" t="n">
        <f aca="false">IF(aov_a=0,0,B9/aov_a)</f>
        <v>0.0592592592592593</v>
      </c>
    </row>
    <row r="10" customFormat="false" ht="15" hidden="false" customHeight="false" outlineLevel="0" collapsed="false">
      <c r="A10" s="2" t="s">
        <v>87</v>
      </c>
      <c r="B10" s="9" t="n">
        <f aca="false">aov_a*acquiring</f>
        <v>202.5</v>
      </c>
      <c r="C10" s="24" t="n">
        <f aca="false">IF(aov_a=0,0,B10/aov_a)</f>
        <v>0.015</v>
      </c>
    </row>
    <row r="11" customFormat="false" ht="15" hidden="false" customHeight="false" outlineLevel="0" collapsed="false">
      <c r="A11" s="2" t="s">
        <v>283</v>
      </c>
      <c r="B11" s="9" t="n">
        <f aca="false">aov_a*UA_quality_reserve</f>
        <v>270</v>
      </c>
      <c r="C11" s="24" t="n">
        <f aca="false">IF(aov_a=0,0,B11/aov_a)</f>
        <v>0.02</v>
      </c>
    </row>
    <row r="12" customFormat="false" ht="15" hidden="false" customHeight="false" outlineLevel="0" collapsed="false">
      <c r="A12" s="10" t="s">
        <v>284</v>
      </c>
      <c r="B12" s="11" t="n">
        <f aca="false">SUM(B6:B11)</f>
        <v>7472.5</v>
      </c>
      <c r="C12" s="24" t="n">
        <f aca="false">IF(aov_a=0,0,B12/aov_a)</f>
        <v>0.553518518518519</v>
      </c>
    </row>
    <row r="13" customFormat="false" ht="15" hidden="false" customHeight="false" outlineLevel="0" collapsed="false">
      <c r="A13" s="10" t="s">
        <v>285</v>
      </c>
      <c r="B13" s="11" t="n">
        <f aca="false">aov_a-var_a</f>
        <v>6027.5</v>
      </c>
      <c r="C13" s="24" t="n">
        <f aca="false">IF(aov_a=0,0,B13/aov_a)</f>
        <v>0.446481481481482</v>
      </c>
    </row>
    <row r="14" customFormat="false" ht="15" hidden="false" customHeight="false" outlineLevel="0" collapsed="false">
      <c r="A14" s="2" t="s">
        <v>286</v>
      </c>
      <c r="B14" s="9" t="n">
        <f aca="false">aov_a*usn_rate</f>
        <v>810</v>
      </c>
      <c r="C14" s="24" t="n">
        <f aca="false">IF(aov_a=0,0,B14/aov_a)</f>
        <v>0.06</v>
      </c>
    </row>
    <row r="15" customFormat="false" ht="15" hidden="false" customHeight="false" outlineLevel="0" collapsed="false">
      <c r="A15" s="10" t="s">
        <v>287</v>
      </c>
      <c r="B15" s="11" t="n">
        <f aca="false">gm_a-B14</f>
        <v>5217.5</v>
      </c>
      <c r="C15" s="24" t="n">
        <f aca="false">IF(aov_a=0,0,B15/aov_a)</f>
        <v>0.386481481481482</v>
      </c>
      <c r="D15" s="5" t="s">
        <v>288</v>
      </c>
    </row>
    <row r="16" customFormat="false" ht="15" hidden="false" customHeight="false" outlineLevel="0" collapsed="false">
      <c r="A16" s="2" t="s">
        <v>289</v>
      </c>
      <c r="B16" s="9" t="n">
        <f aca="false">labor_a/UA_man_hours</f>
        <v>385.714285714286</v>
      </c>
      <c r="D16" s="5" t="s">
        <v>290</v>
      </c>
    </row>
    <row r="17" customFormat="false" ht="15" hidden="false" customHeight="false" outlineLevel="0" collapsed="false">
      <c r="A17" s="2" t="s">
        <v>291</v>
      </c>
      <c r="B17" s="9" t="n">
        <f aca="false">labor_a/UA_area</f>
        <v>90</v>
      </c>
    </row>
    <row r="18" customFormat="false" ht="15" hidden="false" customHeight="false" outlineLevel="0" collapsed="false">
      <c r="A18" s="10" t="s">
        <v>292</v>
      </c>
      <c r="B18" s="11" t="n">
        <f aca="false">cm_a-target_margin_a*aov_a</f>
        <v>1842.5</v>
      </c>
      <c r="C18" s="24" t="n">
        <f aca="false">IF(aov_a=0,0,B18/aov_a)</f>
        <v>0.136481481481481</v>
      </c>
      <c r="D18" s="5" t="s">
        <v>293</v>
      </c>
    </row>
    <row r="19" customFormat="false" ht="15" hidden="false" customHeight="false" outlineLevel="0" collapsed="false">
      <c r="A19" s="2" t="s">
        <v>294</v>
      </c>
      <c r="B19" s="9" t="n">
        <f aca="false">cm_a</f>
        <v>5217.5</v>
      </c>
      <c r="C19" s="24" t="n">
        <f aca="false">IF(aov_a=0,0,B19/aov_a)</f>
        <v>0.386481481481482</v>
      </c>
      <c r="D19" s="5" t="s">
        <v>295</v>
      </c>
    </row>
    <row r="20" customFormat="false" ht="15" hidden="false" customHeight="false" outlineLevel="0" collapsed="false">
      <c r="A20" s="10" t="s">
        <v>296</v>
      </c>
      <c r="B20" s="11" t="n">
        <f aca="false">cac_max_a*lead_to_order_a</f>
        <v>737</v>
      </c>
      <c r="D20" s="5" t="s">
        <v>297</v>
      </c>
    </row>
    <row r="22" customFormat="false" ht="26.85" hidden="false" customHeight="false" outlineLevel="0" collapsed="false">
      <c r="A22" s="3" t="s">
        <v>298</v>
      </c>
      <c r="B22" s="3" t="s">
        <v>278</v>
      </c>
      <c r="C22" s="3" t="s">
        <v>279</v>
      </c>
      <c r="D22" s="3" t="s">
        <v>24</v>
      </c>
    </row>
    <row r="23" customFormat="false" ht="15" hidden="false" customHeight="false" outlineLevel="0" collapsed="false">
      <c r="A23" s="10" t="s">
        <v>299</v>
      </c>
      <c r="B23" s="11" t="n">
        <f aca="false">UB_price_single*(1-UB_sub_discount)</f>
        <v>3432</v>
      </c>
      <c r="C23" s="24" t="n">
        <f aca="false">IF(price_b=0,0,B23/price_b)</f>
        <v>1</v>
      </c>
      <c r="D23" s="5" t="s">
        <v>300</v>
      </c>
    </row>
    <row r="24" customFormat="false" ht="15" hidden="false" customHeight="false" outlineLevel="0" collapsed="false">
      <c r="A24" s="2" t="s">
        <v>127</v>
      </c>
      <c r="B24" s="9" t="n">
        <f aca="false">price_b*UB_labor_share</f>
        <v>1544.4</v>
      </c>
      <c r="C24" s="24" t="n">
        <f aca="false">IF(price_b=0,0,B24/price_b)</f>
        <v>0.45</v>
      </c>
    </row>
    <row r="25" customFormat="false" ht="15" hidden="false" customHeight="false" outlineLevel="0" collapsed="false">
      <c r="A25" s="2" t="s">
        <v>109</v>
      </c>
      <c r="B25" s="9" t="n">
        <f aca="false">UB_chem</f>
        <v>150</v>
      </c>
      <c r="C25" s="24" t="n">
        <f aca="false">IF(price_b=0,0,B25/price_b)</f>
        <v>0.0437062937062937</v>
      </c>
    </row>
    <row r="26" customFormat="false" ht="15" hidden="false" customHeight="false" outlineLevel="0" collapsed="false">
      <c r="A26" s="2" t="s">
        <v>131</v>
      </c>
      <c r="B26" s="9" t="n">
        <f aca="false">UB_amort</f>
        <v>60</v>
      </c>
      <c r="C26" s="24" t="n">
        <f aca="false">IF(price_b=0,0,B26/price_b)</f>
        <v>0.0174825174825175</v>
      </c>
    </row>
    <row r="27" customFormat="false" ht="15" hidden="false" customHeight="false" outlineLevel="0" collapsed="false">
      <c r="A27" s="2" t="s">
        <v>133</v>
      </c>
      <c r="B27" s="9" t="n">
        <f aca="false">UB_logistics</f>
        <v>300</v>
      </c>
      <c r="C27" s="24" t="n">
        <f aca="false">IF(price_b=0,0,B27/price_b)</f>
        <v>0.0874125874125874</v>
      </c>
    </row>
    <row r="28" customFormat="false" ht="15" hidden="false" customHeight="false" outlineLevel="0" collapsed="false">
      <c r="A28" s="2" t="s">
        <v>87</v>
      </c>
      <c r="B28" s="9" t="n">
        <f aca="false">price_b*acquiring</f>
        <v>51.48</v>
      </c>
      <c r="C28" s="24" t="n">
        <f aca="false">IF(price_b=0,0,B28/price_b)</f>
        <v>0.015</v>
      </c>
    </row>
    <row r="29" customFormat="false" ht="15" hidden="false" customHeight="false" outlineLevel="0" collapsed="false">
      <c r="A29" s="2" t="s">
        <v>116</v>
      </c>
      <c r="B29" s="9" t="n">
        <f aca="false">price_b*UB_quality_reserve</f>
        <v>51.48</v>
      </c>
      <c r="C29" s="24" t="n">
        <f aca="false">IF(price_b=0,0,B29/price_b)</f>
        <v>0.015</v>
      </c>
    </row>
    <row r="30" customFormat="false" ht="15" hidden="false" customHeight="false" outlineLevel="0" collapsed="false">
      <c r="A30" s="10" t="s">
        <v>301</v>
      </c>
      <c r="B30" s="11" t="n">
        <f aca="false">SUM(B24:B29)</f>
        <v>2157.36</v>
      </c>
      <c r="C30" s="24" t="n">
        <f aca="false">IF(price_b=0,0,B30/price_b)</f>
        <v>0.628601398601399</v>
      </c>
    </row>
    <row r="31" customFormat="false" ht="15" hidden="false" customHeight="false" outlineLevel="0" collapsed="false">
      <c r="A31" s="10" t="s">
        <v>302</v>
      </c>
      <c r="B31" s="11" t="n">
        <f aca="false">price_b-var_b</f>
        <v>1274.64</v>
      </c>
      <c r="C31" s="24" t="n">
        <f aca="false">IF(price_b=0,0,B31/price_b)</f>
        <v>0.371398601398601</v>
      </c>
    </row>
    <row r="32" customFormat="false" ht="15" hidden="false" customHeight="false" outlineLevel="0" collapsed="false">
      <c r="A32" s="2" t="s">
        <v>286</v>
      </c>
      <c r="B32" s="9" t="n">
        <f aca="false">price_b*usn_rate</f>
        <v>205.92</v>
      </c>
      <c r="C32" s="24" t="n">
        <f aca="false">IF(price_b=0,0,B32/price_b)</f>
        <v>0.06</v>
      </c>
    </row>
    <row r="33" customFormat="false" ht="15" hidden="false" customHeight="false" outlineLevel="0" collapsed="false">
      <c r="A33" s="10" t="s">
        <v>303</v>
      </c>
      <c r="B33" s="11" t="n">
        <f aca="false">gm_b-B32</f>
        <v>1068.72</v>
      </c>
      <c r="C33" s="24" t="n">
        <f aca="false">IF(price_b=0,0,B33/price_b)</f>
        <v>0.311398601398601</v>
      </c>
    </row>
    <row r="34" customFormat="false" ht="15" hidden="false" customHeight="false" outlineLevel="0" collapsed="false">
      <c r="A34" s="2" t="s">
        <v>304</v>
      </c>
      <c r="B34" s="9" t="n">
        <f aca="false">labor_b/UB_hours</f>
        <v>441.257142857143</v>
      </c>
    </row>
    <row r="35" customFormat="false" ht="15" hidden="false" customHeight="false" outlineLevel="0" collapsed="false">
      <c r="A35" s="10" t="s">
        <v>305</v>
      </c>
      <c r="B35" s="11" t="n">
        <f aca="false">price_b*UB_visits_per_month</f>
        <v>9609.6</v>
      </c>
    </row>
    <row r="36" customFormat="false" ht="15" hidden="false" customHeight="false" outlineLevel="0" collapsed="false">
      <c r="A36" s="10" t="s">
        <v>306</v>
      </c>
      <c r="B36" s="11" t="n">
        <f aca="false">cm_b*UB_visits_per_month</f>
        <v>2992.416</v>
      </c>
    </row>
    <row r="38" customFormat="false" ht="26.85" hidden="false" customHeight="false" outlineLevel="0" collapsed="false">
      <c r="A38" s="3" t="s">
        <v>307</v>
      </c>
      <c r="B38" s="3" t="s">
        <v>21</v>
      </c>
      <c r="C38" s="3" t="s">
        <v>22</v>
      </c>
      <c r="D38" s="3" t="s">
        <v>23</v>
      </c>
    </row>
    <row r="39" customFormat="false" ht="15" hidden="false" customHeight="false" outlineLevel="0" collapsed="false">
      <c r="A39" s="2" t="s">
        <v>308</v>
      </c>
      <c r="B39" s="24" t="n">
        <f aca="false">sc_churn_P</f>
        <v>0.12</v>
      </c>
      <c r="C39" s="24" t="n">
        <f aca="false">sc_churn_R</f>
        <v>0.09</v>
      </c>
      <c r="D39" s="24" t="n">
        <f aca="false">sc_churn_O</f>
        <v>0.07</v>
      </c>
    </row>
    <row r="40" customFormat="false" ht="15" hidden="false" customHeight="false" outlineLevel="0" collapsed="false">
      <c r="A40" s="2" t="s">
        <v>309</v>
      </c>
      <c r="B40" s="12" t="n">
        <f aca="false">1/sc_churn_P</f>
        <v>8.33333333333333</v>
      </c>
      <c r="C40" s="12" t="n">
        <f aca="false">1/sc_churn_R</f>
        <v>11.1111111111111</v>
      </c>
      <c r="D40" s="12" t="n">
        <f aca="false">1/sc_churn_O</f>
        <v>14.2857142857143</v>
      </c>
    </row>
    <row r="41" customFormat="false" ht="15" hidden="false" customHeight="false" outlineLevel="0" collapsed="false">
      <c r="A41" s="2" t="s">
        <v>310</v>
      </c>
      <c r="B41" s="9" t="n">
        <f aca="false">rev_month_b/sc_churn_P</f>
        <v>80080</v>
      </c>
      <c r="C41" s="9" t="n">
        <f aca="false">rev_month_b/sc_churn_R</f>
        <v>106773.333333333</v>
      </c>
      <c r="D41" s="9" t="n">
        <f aca="false">rev_month_b/sc_churn_O</f>
        <v>137280</v>
      </c>
    </row>
    <row r="42" customFormat="false" ht="15" hidden="false" customHeight="false" outlineLevel="0" collapsed="false">
      <c r="A42" s="2" t="s">
        <v>311</v>
      </c>
      <c r="B42" s="9" t="n">
        <f aca="false">cm_month_b/sc_churn_P</f>
        <v>24936.8</v>
      </c>
      <c r="C42" s="9" t="n">
        <f aca="false">cm_month_b/sc_churn_R</f>
        <v>33249.0666666667</v>
      </c>
      <c r="D42" s="9" t="n">
        <f aca="false">cm_month_b/sc_churn_O</f>
        <v>42748.8</v>
      </c>
    </row>
    <row r="43" customFormat="false" ht="15" hidden="false" customHeight="false" outlineLevel="0" collapsed="false">
      <c r="A43" s="2" t="s">
        <v>312</v>
      </c>
      <c r="B43" s="9" t="n">
        <f aca="false">cm_month_b/sc_churn_P/ltv_cac_min</f>
        <v>8312.26666666667</v>
      </c>
      <c r="C43" s="9" t="n">
        <f aca="false">cm_month_b/sc_churn_R/ltv_cac_min</f>
        <v>11083.0222222222</v>
      </c>
      <c r="D43" s="9" t="n">
        <f aca="false">cm_month_b/sc_churn_O/ltv_cac_min</f>
        <v>14249.6</v>
      </c>
    </row>
    <row r="44" customFormat="false" ht="15" hidden="false" customHeight="false" outlineLevel="0" collapsed="false">
      <c r="A44" s="2" t="s">
        <v>313</v>
      </c>
      <c r="B44" s="9" t="n">
        <f aca="false">cm_month_b*payback_months_b</f>
        <v>8977.248</v>
      </c>
      <c r="C44" s="9" t="n">
        <f aca="false">cm_month_b*payback_months_b</f>
        <v>8977.248</v>
      </c>
      <c r="D44" s="9" t="n">
        <f aca="false">cm_month_b*payback_months_b</f>
        <v>8977.248</v>
      </c>
    </row>
    <row r="45" customFormat="false" ht="15" hidden="false" customHeight="false" outlineLevel="0" collapsed="false">
      <c r="A45" s="2" t="s">
        <v>314</v>
      </c>
      <c r="B45" s="9" t="n">
        <f aca="false">sc_cac_b_P</f>
        <v>4500</v>
      </c>
      <c r="C45" s="9" t="n">
        <f aca="false">sc_cac_b_R</f>
        <v>3000</v>
      </c>
      <c r="D45" s="9" t="n">
        <f aca="false">sc_cac_b_O</f>
        <v>2500</v>
      </c>
    </row>
    <row r="46" customFormat="false" ht="15" hidden="false" customHeight="false" outlineLevel="0" collapsed="false">
      <c r="A46" s="2" t="s">
        <v>315</v>
      </c>
      <c r="B46" s="12" t="n">
        <f aca="false">cm_month_b/sc_churn_P/sc_cac_b_P</f>
        <v>5.54151111111111</v>
      </c>
      <c r="C46" s="12" t="n">
        <f aca="false">cm_month_b/sc_churn_R/sc_cac_b_R</f>
        <v>11.0830222222222</v>
      </c>
      <c r="D46" s="12" t="n">
        <f aca="false">cm_month_b/sc_churn_O/sc_cac_b_O</f>
        <v>17.09952</v>
      </c>
    </row>
    <row r="47" customFormat="false" ht="15" hidden="false" customHeight="false" outlineLevel="0" collapsed="false">
      <c r="A47" s="2" t="s">
        <v>316</v>
      </c>
      <c r="B47" s="12" t="n">
        <f aca="false">sc_cac_b_P/cm_month_b</f>
        <v>1.50380161047127</v>
      </c>
      <c r="C47" s="12" t="n">
        <f aca="false">sc_cac_b_R/cm_month_b</f>
        <v>1.00253440698085</v>
      </c>
      <c r="D47" s="12" t="n">
        <f aca="false">sc_cac_b_O/cm_month_b</f>
        <v>0.835445339150707</v>
      </c>
    </row>
    <row r="49" customFormat="false" ht="39.55" hidden="false" customHeight="false" outlineLevel="0" collapsed="false">
      <c r="A49" s="3" t="s">
        <v>317</v>
      </c>
      <c r="B49" s="3" t="s">
        <v>318</v>
      </c>
      <c r="C49" s="3" t="s">
        <v>319</v>
      </c>
      <c r="D49" s="3" t="s">
        <v>320</v>
      </c>
    </row>
    <row r="50" customFormat="false" ht="15" hidden="false" customHeight="false" outlineLevel="0" collapsed="false">
      <c r="A50" s="2" t="s">
        <v>321</v>
      </c>
      <c r="B50" s="9" t="n">
        <f aca="false">(cur_gen_base+cur_rooms*cur_gen_room+cur_baths*cur_gen_bath)</f>
        <v>6000</v>
      </c>
      <c r="C50" s="9" t="n">
        <f aca="false">(cur_gen_base+cur_rooms*cur_gen_room+cur_baths*cur_gen_bath)</f>
        <v>6000</v>
      </c>
      <c r="D50" s="9" t="n">
        <f aca="false">UA_area*UA_price_general_m2</f>
        <v>10800</v>
      </c>
    </row>
    <row r="51" customFormat="false" ht="15" hidden="false" customHeight="false" outlineLevel="0" collapsed="false">
      <c r="A51" s="2" t="s">
        <v>322</v>
      </c>
      <c r="B51" s="9" t="n">
        <f aca="false">(cur_post_base+cur_rooms*cur_post_room+cur_baths*cur_post_bath)</f>
        <v>8600</v>
      </c>
      <c r="C51" s="9" t="n">
        <f aca="false">(cur_post_base+cur_rooms*cur_post_room+cur_baths*cur_post_bath)</f>
        <v>8600</v>
      </c>
      <c r="D51" s="9" t="n">
        <f aca="false">UA_area*UA_price_repair_m2</f>
        <v>13800</v>
      </c>
    </row>
    <row r="52" customFormat="false" ht="15" hidden="false" customHeight="false" outlineLevel="0" collapsed="false">
      <c r="A52" s="2" t="s">
        <v>323</v>
      </c>
      <c r="B52" s="12" t="n">
        <f aca="false">(cur_gen_min+cur_post_min)/2/60</f>
        <v>5.875</v>
      </c>
      <c r="C52" s="12" t="n">
        <f aca="false">(cur_gen_min+cur_post_min)/2/60</f>
        <v>5.875</v>
      </c>
      <c r="D52" s="12" t="n">
        <f aca="false">UA_man_hours</f>
        <v>14</v>
      </c>
    </row>
    <row r="53" customFormat="false" ht="15" hidden="false" customHeight="false" outlineLevel="0" collapsed="false">
      <c r="A53" s="2" t="s">
        <v>324</v>
      </c>
      <c r="B53" s="9" t="n">
        <f aca="false">((cur_gen_base+cur_rooms*cur_gen_room+cur_baths*cur_gen_bath)*(1-UA_share_repair)+(cur_post_base+cur_rooms*cur_post_room+cur_baths*cur_post_bath)*UA_share_repair+UA_upsell)</f>
        <v>8500</v>
      </c>
      <c r="C53" s="9" t="n">
        <f aca="false">((cur_gen_base+cur_rooms*cur_gen_room+cur_baths*cur_gen_bath)*(1-UA_share_repair)+(cur_post_base+cur_rooms*cur_post_room+cur_baths*cur_post_bath)*UA_share_repair+UA_upsell)</f>
        <v>8500</v>
      </c>
      <c r="D53" s="9" t="n">
        <f aca="false">aov_a</f>
        <v>13500</v>
      </c>
    </row>
    <row r="54" customFormat="false" ht="15" hidden="false" customHeight="false" outlineLevel="0" collapsed="false">
      <c r="A54" s="2" t="s">
        <v>325</v>
      </c>
      <c r="B54" s="9" t="n">
        <f aca="false">((cur_gen_base+cur_rooms*cur_gen_room+cur_baths*cur_gen_bath)*(1-UA_share_repair)+(cur_post_base+cur_rooms*cur_post_room+cur_baths*cur_post_bath)*UA_share_repair+UA_upsell)*UA_labor_share</f>
        <v>3400</v>
      </c>
      <c r="C54" s="9" t="n">
        <f aca="false">labor_a</f>
        <v>5400</v>
      </c>
      <c r="D54" s="9" t="n">
        <f aca="false">labor_a</f>
        <v>5400</v>
      </c>
    </row>
    <row r="55" customFormat="false" ht="15" hidden="false" customHeight="false" outlineLevel="0" collapsed="false">
      <c r="A55" s="2" t="s">
        <v>326</v>
      </c>
      <c r="B55" s="24" t="n">
        <f aca="false">UA_labor_share</f>
        <v>0.4</v>
      </c>
      <c r="C55" s="24" t="n">
        <f aca="false">labor_a/((cur_gen_base+cur_rooms*cur_gen_room+cur_baths*cur_gen_bath)*(1-UA_share_repair)+(cur_post_base+cur_rooms*cur_post_room+cur_baths*cur_post_bath)*UA_share_repair+UA_upsell)</f>
        <v>0.635294117647059</v>
      </c>
      <c r="D55" s="24" t="n">
        <f aca="false">UA_labor_share</f>
        <v>0.4</v>
      </c>
    </row>
    <row r="56" customFormat="false" ht="15" hidden="false" customHeight="false" outlineLevel="0" collapsed="false">
      <c r="A56" s="2" t="s">
        <v>327</v>
      </c>
      <c r="B56" s="9" t="n">
        <f aca="false">((cur_gen_base+cur_rooms*cur_gen_room+cur_baths*cur_gen_bath)*(1-UA_share_repair)+(cur_post_base+cur_rooms*cur_post_room+cur_baths*cur_post_bath)*UA_share_repair+UA_upsell)*UA_labor_share/UA_man_hours</f>
        <v>242.857142857143</v>
      </c>
      <c r="C56" s="9" t="n">
        <f aca="false">labor_a/UA_man_hours</f>
        <v>385.714285714286</v>
      </c>
      <c r="D56" s="9" t="n">
        <f aca="false">labor_a/UA_man_hours</f>
        <v>385.714285714286</v>
      </c>
    </row>
    <row r="57" customFormat="false" ht="15" hidden="false" customHeight="false" outlineLevel="0" collapsed="false">
      <c r="A57" s="2" t="s">
        <v>328</v>
      </c>
      <c r="B57" s="9" t="n">
        <f aca="false">((cur_gen_base+cur_rooms*cur_gen_room+cur_baths*cur_gen_bath)*(1-UA_share_repair)+(cur_post_base+cur_rooms*cur_post_room+cur_baths*cur_post_bath)*UA_share_repair+UA_upsell)*(1-UA_labor_share-(acquiring+UA_quality_reserve+usn_rate))-(UA_chem+UA_amort+UA_logistics)</f>
        <v>2692.5</v>
      </c>
      <c r="C57" s="9" t="n">
        <f aca="false">((cur_gen_base+cur_rooms*cur_gen_room+cur_baths*cur_gen_bath)*(1-UA_share_repair)+(cur_post_base+cur_rooms*cur_post_room+cur_baths*cur_post_bath)*UA_share_repair+UA_upsell)*(1-(acquiring+UA_quality_reserve+usn_rate))-labor_a-(UA_chem+UA_amort+UA_logistics)</f>
        <v>692.5</v>
      </c>
      <c r="D57" s="9" t="n">
        <f aca="false">cm_a</f>
        <v>5217.5</v>
      </c>
    </row>
    <row r="58" customFormat="false" ht="15" hidden="false" customHeight="false" outlineLevel="0" collapsed="false">
      <c r="A58" s="2" t="s">
        <v>329</v>
      </c>
      <c r="B58" s="24" t="n">
        <f aca="false">(((cur_gen_base+cur_rooms*cur_gen_room+cur_baths*cur_gen_bath)*(1-UA_share_repair)+(cur_post_base+cur_rooms*cur_post_room+cur_baths*cur_post_bath)*UA_share_repair+UA_upsell)*(1-UA_labor_share-(acquiring+UA_quality_reserve+usn_rate))-(UA_chem+UA_amort+UA_logistics))/((cur_gen_base+cur_rooms*cur_gen_room+cur_baths*cur_gen_bath)*(1-UA_share_repair)+(cur_post_base+cur_rooms*cur_post_room+cur_baths*cur_post_bath)*UA_share_repair+UA_upsell)</f>
        <v>0.316764705882353</v>
      </c>
      <c r="C58" s="24" t="n">
        <f aca="false">(((cur_gen_base+cur_rooms*cur_gen_room+cur_baths*cur_gen_bath)*(1-UA_share_repair)+(cur_post_base+cur_rooms*cur_post_room+cur_baths*cur_post_bath)*UA_share_repair+UA_upsell)*(1-(acquiring+UA_quality_reserve+usn_rate))-labor_a-(UA_chem+UA_amort+UA_logistics))/((cur_gen_base+cur_rooms*cur_gen_room+cur_baths*cur_gen_bath)*(1-UA_share_repair)+(cur_post_base+cur_rooms*cur_post_room+cur_baths*cur_post_bath)*UA_share_repair+UA_upsell)</f>
        <v>0.0814705882352941</v>
      </c>
      <c r="D58" s="24" t="n">
        <f aca="false">cm_a/aov_a</f>
        <v>0.386481481481482</v>
      </c>
    </row>
    <row r="59" customFormat="false" ht="15" hidden="false" customHeight="false" outlineLevel="0" collapsed="false">
      <c r="A59" s="2" t="s">
        <v>330</v>
      </c>
      <c r="B59" s="9" t="n">
        <f aca="false">(cur_maint_base+cur_rooms*cur_maint_room+cur_baths*cur_maint_bath)</f>
        <v>2750</v>
      </c>
      <c r="C59" s="9" t="n">
        <f aca="false">(cur_maint_base+cur_rooms*cur_maint_room+cur_baths*cur_maint_bath)</f>
        <v>2750</v>
      </c>
      <c r="D59" s="9" t="n">
        <f aca="false">UB_price_single</f>
        <v>3900</v>
      </c>
    </row>
    <row r="60" customFormat="false" ht="15" hidden="false" customHeight="false" outlineLevel="0" collapsed="false">
      <c r="A60" s="2" t="s">
        <v>331</v>
      </c>
      <c r="B60" s="9" t="n">
        <f aca="false">((cur_maint_base+cur_rooms*cur_maint_room+cur_baths*cur_maint_bath)*(1-UB_sub_discount))</f>
        <v>2420</v>
      </c>
      <c r="C60" s="9" t="n">
        <f aca="false">((cur_maint_base+cur_rooms*cur_maint_room+cur_baths*cur_maint_bath)*(1-UB_sub_discount))</f>
        <v>2420</v>
      </c>
      <c r="D60" s="9" t="n">
        <f aca="false">price_b</f>
        <v>3432</v>
      </c>
    </row>
    <row r="61" customFormat="false" ht="15" hidden="false" customHeight="false" outlineLevel="0" collapsed="false">
      <c r="A61" s="2" t="s">
        <v>332</v>
      </c>
      <c r="B61" s="9" t="n">
        <f aca="false">((cur_maint_base+cur_rooms*cur_maint_room+cur_baths*cur_maint_bath)*(1-UB_sub_discount))*UB_labor_share/UB_hours</f>
        <v>311.142857142857</v>
      </c>
      <c r="C61" s="9" t="n">
        <f aca="false">labor_b/UB_hours</f>
        <v>441.257142857143</v>
      </c>
      <c r="D61" s="9" t="n">
        <f aca="false">labor_b/UB_hours</f>
        <v>441.257142857143</v>
      </c>
    </row>
    <row r="62" customFormat="false" ht="15" hidden="false" customHeight="false" outlineLevel="0" collapsed="false">
      <c r="A62" s="2" t="s">
        <v>303</v>
      </c>
      <c r="B62" s="9" t="n">
        <f aca="false">((cur_maint_base+cur_rooms*cur_maint_room+cur_baths*cur_maint_bath)*(1-UB_sub_discount))*(1-UB_labor_share-(acquiring+UB_quality_reserve+usn_rate))-(UB_chem+UB_amort+UB_logistics)</f>
        <v>603.2</v>
      </c>
      <c r="C62" s="9" t="n">
        <f aca="false">((cur_maint_base+cur_rooms*cur_maint_room+cur_baths*cur_maint_bath)*(1-UB_sub_discount))*(1-(acquiring+UB_quality_reserve+usn_rate))-labor_b-(UB_chem+UB_amort+UB_logistics)</f>
        <v>147.8</v>
      </c>
      <c r="D62" s="9" t="n">
        <f aca="false">cm_b</f>
        <v>1068.72</v>
      </c>
    </row>
    <row r="63" customFormat="false" ht="15" hidden="false" customHeight="false" outlineLevel="0" collapsed="false">
      <c r="A63" s="2" t="s">
        <v>306</v>
      </c>
      <c r="B63" s="9" t="n">
        <f aca="false">(((cur_maint_base+cur_rooms*cur_maint_room+cur_baths*cur_maint_bath)*(1-UB_sub_discount))*(1-UB_labor_share-(acquiring+UB_quality_reserve+usn_rate))-(UB_chem+UB_amort+UB_logistics))*UB_visits_per_month</f>
        <v>1688.96</v>
      </c>
      <c r="C63" s="9" t="n">
        <f aca="false">(((cur_maint_base+cur_rooms*cur_maint_room+cur_baths*cur_maint_bath)*(1-UB_sub_discount))*(1-(acquiring+UB_quality_reserve+usn_rate))-labor_b-(UB_chem+UB_amort+UB_logistics))*UB_visits_per_month</f>
        <v>413.840000000001</v>
      </c>
      <c r="D63" s="9" t="n">
        <f aca="false">cm_month_b</f>
        <v>2992.416</v>
      </c>
    </row>
    <row r="64" customFormat="false" ht="15" hidden="false" customHeight="false" outlineLevel="0" collapsed="false">
      <c r="A64" s="5" t="s">
        <v>333</v>
      </c>
    </row>
    <row r="66" customFormat="false" ht="26.85" hidden="false" customHeight="false" outlineLevel="0" collapsed="false">
      <c r="A66" s="3" t="s">
        <v>334</v>
      </c>
      <c r="B66" s="3" t="s">
        <v>278</v>
      </c>
      <c r="C66" s="3" t="s">
        <v>279</v>
      </c>
      <c r="D66" s="3" t="s">
        <v>24</v>
      </c>
    </row>
    <row r="67" customFormat="false" ht="15" hidden="false" customHeight="false" outlineLevel="0" collapsed="false">
      <c r="A67" s="10" t="s">
        <v>335</v>
      </c>
      <c r="B67" s="11" t="n">
        <f aca="false">US_aov</f>
        <v>4500</v>
      </c>
      <c r="C67" s="24" t="n">
        <f aca="false">IF(aov_s=0,0,B67/aov_s)</f>
        <v>1</v>
      </c>
    </row>
    <row r="68" customFormat="false" ht="15" hidden="false" customHeight="false" outlineLevel="0" collapsed="false">
      <c r="A68" s="2" t="s">
        <v>144</v>
      </c>
      <c r="B68" s="9" t="n">
        <f aca="false">aov_s*US_labor_share</f>
        <v>1575</v>
      </c>
      <c r="C68" s="24" t="n">
        <f aca="false">IF(aov_s=0,0,B68/aov_s)</f>
        <v>0.35</v>
      </c>
    </row>
    <row r="69" customFormat="false" ht="15" hidden="false" customHeight="false" outlineLevel="0" collapsed="false">
      <c r="A69" s="2" t="s">
        <v>146</v>
      </c>
      <c r="B69" s="9" t="n">
        <f aca="false">US_chem</f>
        <v>300</v>
      </c>
      <c r="C69" s="24" t="n">
        <f aca="false">IF(aov_s=0,0,B69/aov_s)</f>
        <v>0.0666666666666667</v>
      </c>
    </row>
    <row r="70" customFormat="false" ht="15" hidden="false" customHeight="false" outlineLevel="0" collapsed="false">
      <c r="A70" s="2" t="s">
        <v>148</v>
      </c>
      <c r="B70" s="9" t="n">
        <f aca="false">US_amort</f>
        <v>350</v>
      </c>
      <c r="C70" s="24" t="n">
        <f aca="false">IF(aov_s=0,0,B70/aov_s)</f>
        <v>0.0777777777777778</v>
      </c>
    </row>
    <row r="71" customFormat="false" ht="15" hidden="false" customHeight="false" outlineLevel="0" collapsed="false">
      <c r="A71" s="2" t="s">
        <v>114</v>
      </c>
      <c r="B71" s="9" t="n">
        <f aca="false">US_logistics</f>
        <v>400</v>
      </c>
      <c r="C71" s="24" t="n">
        <f aca="false">IF(aov_s=0,0,B71/aov_s)</f>
        <v>0.0888888888888889</v>
      </c>
    </row>
    <row r="72" customFormat="false" ht="15" hidden="false" customHeight="false" outlineLevel="0" collapsed="false">
      <c r="A72" s="2" t="s">
        <v>87</v>
      </c>
      <c r="B72" s="9" t="n">
        <f aca="false">aov_s*acquiring</f>
        <v>67.5</v>
      </c>
      <c r="C72" s="24" t="n">
        <f aca="false">IF(aov_s=0,0,B72/aov_s)</f>
        <v>0.015</v>
      </c>
    </row>
    <row r="73" customFormat="false" ht="15" hidden="false" customHeight="false" outlineLevel="0" collapsed="false">
      <c r="A73" s="2" t="s">
        <v>116</v>
      </c>
      <c r="B73" s="9" t="n">
        <f aca="false">aov_s*US_quality_reserve</f>
        <v>67.5</v>
      </c>
      <c r="C73" s="24" t="n">
        <f aca="false">IF(aov_s=0,0,B73/aov_s)</f>
        <v>0.015</v>
      </c>
    </row>
    <row r="74" customFormat="false" ht="15" hidden="false" customHeight="false" outlineLevel="0" collapsed="false">
      <c r="A74" s="10" t="s">
        <v>336</v>
      </c>
      <c r="B74" s="11" t="n">
        <f aca="false">SUM(B68:B73)</f>
        <v>2760</v>
      </c>
      <c r="C74" s="24" t="n">
        <f aca="false">IF(aov_s=0,0,B74/aov_s)</f>
        <v>0.613333333333333</v>
      </c>
    </row>
    <row r="75" customFormat="false" ht="15" hidden="false" customHeight="false" outlineLevel="0" collapsed="false">
      <c r="A75" s="10" t="s">
        <v>285</v>
      </c>
      <c r="B75" s="11" t="n">
        <f aca="false">aov_s-var_s</f>
        <v>1740</v>
      </c>
      <c r="C75" s="24" t="n">
        <f aca="false">IF(aov_s=0,0,B75/aov_s)</f>
        <v>0.386666666666667</v>
      </c>
    </row>
    <row r="76" customFormat="false" ht="15" hidden="false" customHeight="false" outlineLevel="0" collapsed="false">
      <c r="A76" s="2" t="s">
        <v>286</v>
      </c>
      <c r="B76" s="9" t="n">
        <f aca="false">aov_s*usn_rate</f>
        <v>270</v>
      </c>
      <c r="C76" s="24" t="n">
        <f aca="false">IF(aov_s=0,0,B76/aov_s)</f>
        <v>0.06</v>
      </c>
    </row>
    <row r="77" customFormat="false" ht="15" hidden="false" customHeight="false" outlineLevel="0" collapsed="false">
      <c r="A77" s="10" t="s">
        <v>337</v>
      </c>
      <c r="B77" s="11" t="n">
        <f aca="false">B75-B76</f>
        <v>1470</v>
      </c>
      <c r="C77" s="24" t="n">
        <f aca="false">IF(aov_s=0,0,B77/aov_s)</f>
        <v>0.326666666666667</v>
      </c>
    </row>
    <row r="79" customFormat="false" ht="26.85" hidden="false" customHeight="false" outlineLevel="0" collapsed="false">
      <c r="A79" s="3" t="s">
        <v>338</v>
      </c>
      <c r="B79" s="3" t="s">
        <v>278</v>
      </c>
      <c r="C79" s="3" t="s">
        <v>279</v>
      </c>
      <c r="D79" s="3" t="s">
        <v>24</v>
      </c>
    </row>
    <row r="80" customFormat="false" ht="15" hidden="false" customHeight="false" outlineLevel="0" collapsed="false">
      <c r="A80" s="10" t="s">
        <v>152</v>
      </c>
      <c r="B80" s="11" t="n">
        <f aca="false">b2b_value</f>
        <v>55000</v>
      </c>
      <c r="C80" s="24" t="n">
        <f aca="false">IF(b2b_value=0,0,B80/b2b_value)</f>
        <v>1</v>
      </c>
    </row>
    <row r="81" customFormat="false" ht="15" hidden="false" customHeight="false" outlineLevel="0" collapsed="false">
      <c r="A81" s="2" t="s">
        <v>155</v>
      </c>
      <c r="B81" s="9" t="n">
        <f aca="false">b2b_value*b2b_direct_share</f>
        <v>37400</v>
      </c>
      <c r="C81" s="24" t="n">
        <f aca="false">IF(b2b_value=0,0,B81/b2b_value)</f>
        <v>0.68</v>
      </c>
    </row>
    <row r="82" customFormat="false" ht="15" hidden="false" customHeight="false" outlineLevel="0" collapsed="false">
      <c r="A82" s="2" t="s">
        <v>286</v>
      </c>
      <c r="B82" s="9" t="n">
        <f aca="false">b2b_value*usn_rate</f>
        <v>3300</v>
      </c>
      <c r="C82" s="24" t="n">
        <f aca="false">IF(b2b_value=0,0,B82/b2b_value)</f>
        <v>0.06</v>
      </c>
    </row>
    <row r="83" customFormat="false" ht="15" hidden="false" customHeight="false" outlineLevel="0" collapsed="false">
      <c r="A83" s="10" t="s">
        <v>337</v>
      </c>
      <c r="B83" s="11" t="n">
        <f aca="false">b2b_value-b2b_direct-B82</f>
        <v>14300</v>
      </c>
      <c r="C83" s="24" t="n">
        <f aca="false">IF(b2b_value=0,0,B83/b2b_value)</f>
        <v>0.26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5"/>
    <col collapsed="false" customWidth="true" hidden="false" outlineLevel="0" max="26" min="3" style="0" width="12"/>
  </cols>
  <sheetData>
    <row r="1" customFormat="false" ht="17.35" hidden="false" customHeight="false" outlineLevel="0" collapsed="false">
      <c r="A1" s="1" t="s">
        <v>339</v>
      </c>
    </row>
    <row r="2" customFormat="false" ht="30" hidden="false" customHeight="true" outlineLevel="0" collapsed="false">
      <c r="A2" s="3" t="s">
        <v>20</v>
      </c>
      <c r="B2" s="3" t="s">
        <v>340</v>
      </c>
      <c r="C2" s="3" t="s">
        <v>341</v>
      </c>
      <c r="D2" s="3" t="s">
        <v>342</v>
      </c>
      <c r="E2" s="3" t="s">
        <v>343</v>
      </c>
      <c r="F2" s="3" t="s">
        <v>344</v>
      </c>
      <c r="G2" s="3" t="s">
        <v>345</v>
      </c>
      <c r="H2" s="3" t="s">
        <v>346</v>
      </c>
      <c r="I2" s="3" t="s">
        <v>347</v>
      </c>
      <c r="J2" s="3" t="s">
        <v>348</v>
      </c>
      <c r="K2" s="3" t="s">
        <v>349</v>
      </c>
      <c r="L2" s="3" t="s">
        <v>350</v>
      </c>
      <c r="M2" s="3" t="s">
        <v>351</v>
      </c>
      <c r="N2" s="3" t="s">
        <v>352</v>
      </c>
      <c r="O2" s="3" t="s">
        <v>353</v>
      </c>
      <c r="P2" s="3" t="s">
        <v>354</v>
      </c>
      <c r="Q2" s="3" t="s">
        <v>355</v>
      </c>
      <c r="R2" s="3" t="s">
        <v>356</v>
      </c>
      <c r="S2" s="3" t="s">
        <v>357</v>
      </c>
      <c r="T2" s="3" t="s">
        <v>358</v>
      </c>
      <c r="U2" s="3" t="s">
        <v>359</v>
      </c>
      <c r="V2" s="3" t="s">
        <v>360</v>
      </c>
      <c r="W2" s="3" t="s">
        <v>361</v>
      </c>
      <c r="X2" s="3" t="s">
        <v>362</v>
      </c>
      <c r="Y2" s="3" t="s">
        <v>363</v>
      </c>
      <c r="Z2" s="3" t="s">
        <v>364</v>
      </c>
    </row>
    <row r="3" customFormat="false" ht="15" hidden="false" customHeight="false" outlineLevel="0" collapsed="false">
      <c r="A3" s="10" t="s">
        <v>365</v>
      </c>
      <c r="C3" s="25" t="n">
        <v>1</v>
      </c>
      <c r="D3" s="25" t="n">
        <v>2</v>
      </c>
      <c r="E3" s="25" t="n">
        <v>3</v>
      </c>
      <c r="F3" s="25" t="n">
        <v>4</v>
      </c>
      <c r="G3" s="25" t="n">
        <v>5</v>
      </c>
      <c r="H3" s="25" t="n">
        <v>6</v>
      </c>
      <c r="I3" s="25" t="n">
        <v>7</v>
      </c>
      <c r="J3" s="25" t="n">
        <v>8</v>
      </c>
      <c r="K3" s="25" t="n">
        <v>9</v>
      </c>
      <c r="L3" s="25" t="n">
        <v>10</v>
      </c>
      <c r="M3" s="25" t="n">
        <v>11</v>
      </c>
      <c r="N3" s="25" t="n">
        <v>12</v>
      </c>
      <c r="O3" s="25" t="n">
        <v>13</v>
      </c>
      <c r="P3" s="25" t="n">
        <v>14</v>
      </c>
      <c r="Q3" s="25" t="n">
        <v>15</v>
      </c>
      <c r="R3" s="25" t="n">
        <v>16</v>
      </c>
      <c r="S3" s="25" t="n">
        <v>17</v>
      </c>
      <c r="T3" s="25" t="n">
        <v>18</v>
      </c>
      <c r="U3" s="25" t="n">
        <v>19</v>
      </c>
      <c r="V3" s="25" t="n">
        <v>20</v>
      </c>
      <c r="W3" s="25" t="n">
        <v>21</v>
      </c>
      <c r="X3" s="25" t="n">
        <v>22</v>
      </c>
      <c r="Y3" s="25" t="n">
        <v>23</v>
      </c>
      <c r="Z3" s="25" t="n">
        <v>24</v>
      </c>
    </row>
    <row r="4" customFormat="false" ht="15" hidden="false" customHeight="false" outlineLevel="0" collapsed="false">
      <c r="A4" s="2" t="s">
        <v>366</v>
      </c>
      <c r="C4" s="26" t="n">
        <f aca="false">start_year+INT((start_month-1+C3-1)/12)</f>
        <v>2026</v>
      </c>
      <c r="D4" s="26" t="n">
        <f aca="false">start_year+INT((start_month-1+D3-1)/12)</f>
        <v>2026</v>
      </c>
      <c r="E4" s="26" t="n">
        <f aca="false">start_year+INT((start_month-1+E3-1)/12)</f>
        <v>2027</v>
      </c>
      <c r="F4" s="26" t="n">
        <f aca="false">start_year+INT((start_month-1+F3-1)/12)</f>
        <v>2027</v>
      </c>
      <c r="G4" s="26" t="n">
        <f aca="false">start_year+INT((start_month-1+G3-1)/12)</f>
        <v>2027</v>
      </c>
      <c r="H4" s="26" t="n">
        <f aca="false">start_year+INT((start_month-1+H3-1)/12)</f>
        <v>2027</v>
      </c>
      <c r="I4" s="26" t="n">
        <f aca="false">start_year+INT((start_month-1+I3-1)/12)</f>
        <v>2027</v>
      </c>
      <c r="J4" s="26" t="n">
        <f aca="false">start_year+INT((start_month-1+J3-1)/12)</f>
        <v>2027</v>
      </c>
      <c r="K4" s="26" t="n">
        <f aca="false">start_year+INT((start_month-1+K3-1)/12)</f>
        <v>2027</v>
      </c>
      <c r="L4" s="26" t="n">
        <f aca="false">start_year+INT((start_month-1+L3-1)/12)</f>
        <v>2027</v>
      </c>
      <c r="M4" s="26" t="n">
        <f aca="false">start_year+INT((start_month-1+M3-1)/12)</f>
        <v>2027</v>
      </c>
      <c r="N4" s="26" t="n">
        <f aca="false">start_year+INT((start_month-1+N3-1)/12)</f>
        <v>2027</v>
      </c>
      <c r="O4" s="26" t="n">
        <f aca="false">start_year+INT((start_month-1+O3-1)/12)</f>
        <v>2027</v>
      </c>
      <c r="P4" s="26" t="n">
        <f aca="false">start_year+INT((start_month-1+P3-1)/12)</f>
        <v>2027</v>
      </c>
      <c r="Q4" s="26" t="n">
        <f aca="false">start_year+INT((start_month-1+Q3-1)/12)</f>
        <v>2028</v>
      </c>
      <c r="R4" s="26" t="n">
        <f aca="false">start_year+INT((start_month-1+R3-1)/12)</f>
        <v>2028</v>
      </c>
      <c r="S4" s="26" t="n">
        <f aca="false">start_year+INT((start_month-1+S3-1)/12)</f>
        <v>2028</v>
      </c>
      <c r="T4" s="26" t="n">
        <f aca="false">start_year+INT((start_month-1+T3-1)/12)</f>
        <v>2028</v>
      </c>
      <c r="U4" s="26" t="n">
        <f aca="false">start_year+INT((start_month-1+U3-1)/12)</f>
        <v>2028</v>
      </c>
      <c r="V4" s="26" t="n">
        <f aca="false">start_year+INT((start_month-1+V3-1)/12)</f>
        <v>2028</v>
      </c>
      <c r="W4" s="26" t="n">
        <f aca="false">start_year+INT((start_month-1+W3-1)/12)</f>
        <v>2028</v>
      </c>
      <c r="X4" s="26" t="n">
        <f aca="false">start_year+INT((start_month-1+X3-1)/12)</f>
        <v>2028</v>
      </c>
      <c r="Y4" s="26" t="n">
        <f aca="false">start_year+INT((start_month-1+Y3-1)/12)</f>
        <v>2028</v>
      </c>
      <c r="Z4" s="26" t="n">
        <f aca="false">start_year+INT((start_month-1+Z3-1)/12)</f>
        <v>2028</v>
      </c>
    </row>
    <row r="5" customFormat="false" ht="15" hidden="false" customHeight="false" outlineLevel="0" collapsed="false">
      <c r="A5" s="2" t="s">
        <v>367</v>
      </c>
      <c r="C5" s="26" t="n">
        <f aca="false">MOD(start_month-1+C3-1,12)+1</f>
        <v>11</v>
      </c>
      <c r="D5" s="26" t="n">
        <f aca="false">MOD(start_month-1+D3-1,12)+1</f>
        <v>12</v>
      </c>
      <c r="E5" s="26" t="n">
        <f aca="false">MOD(start_month-1+E3-1,12)+1</f>
        <v>1</v>
      </c>
      <c r="F5" s="26" t="n">
        <f aca="false">MOD(start_month-1+F3-1,12)+1</f>
        <v>2</v>
      </c>
      <c r="G5" s="26" t="n">
        <f aca="false">MOD(start_month-1+G3-1,12)+1</f>
        <v>3</v>
      </c>
      <c r="H5" s="26" t="n">
        <f aca="false">MOD(start_month-1+H3-1,12)+1</f>
        <v>4</v>
      </c>
      <c r="I5" s="26" t="n">
        <f aca="false">MOD(start_month-1+I3-1,12)+1</f>
        <v>5</v>
      </c>
      <c r="J5" s="26" t="n">
        <f aca="false">MOD(start_month-1+J3-1,12)+1</f>
        <v>6</v>
      </c>
      <c r="K5" s="26" t="n">
        <f aca="false">MOD(start_month-1+K3-1,12)+1</f>
        <v>7</v>
      </c>
      <c r="L5" s="26" t="n">
        <f aca="false">MOD(start_month-1+L3-1,12)+1</f>
        <v>8</v>
      </c>
      <c r="M5" s="26" t="n">
        <f aca="false">MOD(start_month-1+M3-1,12)+1</f>
        <v>9</v>
      </c>
      <c r="N5" s="26" t="n">
        <f aca="false">MOD(start_month-1+N3-1,12)+1</f>
        <v>10</v>
      </c>
      <c r="O5" s="26" t="n">
        <f aca="false">MOD(start_month-1+O3-1,12)+1</f>
        <v>11</v>
      </c>
      <c r="P5" s="26" t="n">
        <f aca="false">MOD(start_month-1+P3-1,12)+1</f>
        <v>12</v>
      </c>
      <c r="Q5" s="26" t="n">
        <f aca="false">MOD(start_month-1+Q3-1,12)+1</f>
        <v>1</v>
      </c>
      <c r="R5" s="26" t="n">
        <f aca="false">MOD(start_month-1+R3-1,12)+1</f>
        <v>2</v>
      </c>
      <c r="S5" s="26" t="n">
        <f aca="false">MOD(start_month-1+S3-1,12)+1</f>
        <v>3</v>
      </c>
      <c r="T5" s="26" t="n">
        <f aca="false">MOD(start_month-1+T3-1,12)+1</f>
        <v>4</v>
      </c>
      <c r="U5" s="26" t="n">
        <f aca="false">MOD(start_month-1+U3-1,12)+1</f>
        <v>5</v>
      </c>
      <c r="V5" s="26" t="n">
        <f aca="false">MOD(start_month-1+V3-1,12)+1</f>
        <v>6</v>
      </c>
      <c r="W5" s="26" t="n">
        <f aca="false">MOD(start_month-1+W3-1,12)+1</f>
        <v>7</v>
      </c>
      <c r="X5" s="26" t="n">
        <f aca="false">MOD(start_month-1+X3-1,12)+1</f>
        <v>8</v>
      </c>
      <c r="Y5" s="26" t="n">
        <f aca="false">MOD(start_month-1+Y3-1,12)+1</f>
        <v>9</v>
      </c>
      <c r="Z5" s="26" t="n">
        <f aca="false">MOD(start_month-1+Z3-1,12)+1</f>
        <v>10</v>
      </c>
    </row>
    <row r="6" customFormat="false" ht="15" hidden="false" customHeight="false" outlineLevel="0" collapsed="false">
      <c r="A6" s="2" t="s">
        <v>368</v>
      </c>
      <c r="C6" s="27" t="n">
        <f aca="false">INDEX(season_tbl,C5)</f>
        <v>0.95</v>
      </c>
      <c r="D6" s="27" t="n">
        <f aca="false">INDEX(season_tbl,D5)</f>
        <v>1.2</v>
      </c>
      <c r="E6" s="27" t="n">
        <f aca="false">INDEX(season_tbl,E5)</f>
        <v>0.7</v>
      </c>
      <c r="F6" s="27" t="n">
        <f aca="false">INDEX(season_tbl,F5)</f>
        <v>0.8</v>
      </c>
      <c r="G6" s="27" t="n">
        <f aca="false">INDEX(season_tbl,G5)</f>
        <v>0.95</v>
      </c>
      <c r="H6" s="27" t="n">
        <f aca="false">INDEX(season_tbl,H5)</f>
        <v>1.15</v>
      </c>
      <c r="I6" s="27" t="n">
        <f aca="false">INDEX(season_tbl,I5)</f>
        <v>1.25</v>
      </c>
      <c r="J6" s="27" t="n">
        <f aca="false">INDEX(season_tbl,J5)</f>
        <v>1.1</v>
      </c>
      <c r="K6" s="27" t="n">
        <f aca="false">INDEX(season_tbl,K5)</f>
        <v>0.9</v>
      </c>
      <c r="L6" s="27" t="n">
        <f aca="false">INDEX(season_tbl,L5)</f>
        <v>1.05</v>
      </c>
      <c r="M6" s="27" t="n">
        <f aca="false">INDEX(season_tbl,M5)</f>
        <v>1.1</v>
      </c>
      <c r="N6" s="27" t="n">
        <f aca="false">INDEX(season_tbl,N5)</f>
        <v>1</v>
      </c>
      <c r="O6" s="27" t="n">
        <f aca="false">INDEX(season_tbl,O5)</f>
        <v>0.95</v>
      </c>
      <c r="P6" s="27" t="n">
        <f aca="false">INDEX(season_tbl,P5)</f>
        <v>1.2</v>
      </c>
      <c r="Q6" s="27" t="n">
        <f aca="false">INDEX(season_tbl,Q5)</f>
        <v>0.7</v>
      </c>
      <c r="R6" s="27" t="n">
        <f aca="false">INDEX(season_tbl,R5)</f>
        <v>0.8</v>
      </c>
      <c r="S6" s="27" t="n">
        <f aca="false">INDEX(season_tbl,S5)</f>
        <v>0.95</v>
      </c>
      <c r="T6" s="27" t="n">
        <f aca="false">INDEX(season_tbl,T5)</f>
        <v>1.15</v>
      </c>
      <c r="U6" s="27" t="n">
        <f aca="false">INDEX(season_tbl,U5)</f>
        <v>1.25</v>
      </c>
      <c r="V6" s="27" t="n">
        <f aca="false">INDEX(season_tbl,V5)</f>
        <v>1.1</v>
      </c>
      <c r="W6" s="27" t="n">
        <f aca="false">INDEX(season_tbl,W5)</f>
        <v>0.9</v>
      </c>
      <c r="X6" s="27" t="n">
        <f aca="false">INDEX(season_tbl,X5)</f>
        <v>1.05</v>
      </c>
      <c r="Y6" s="27" t="n">
        <f aca="false">INDEX(season_tbl,Y5)</f>
        <v>1.1</v>
      </c>
      <c r="Z6" s="27" t="n">
        <f aca="false">INDEX(season_tbl,Z5)</f>
        <v>1</v>
      </c>
    </row>
    <row r="8" customFormat="false" ht="15" hidden="false" customHeight="false" outlineLevel="0" collapsed="false">
      <c r="A8" s="13" t="s">
        <v>369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customFormat="false" ht="15" hidden="false" customHeight="false" outlineLevel="0" collapsed="false">
      <c r="A9" s="2" t="s">
        <v>370</v>
      </c>
      <c r="C9" s="12" t="n">
        <f aca="false">IF(C3&lt;=6,sc_a_start_P+(sc_a_m6_P-sc_a_start_P)*(C3-1)/5,sc_a_m6_P*(1+sc_a_growth_P)^(C3-6))</f>
        <v>8</v>
      </c>
      <c r="D9" s="12" t="n">
        <f aca="false">IF(D3&lt;=6,sc_a_start_P+(sc_a_m6_P-sc_a_start_P)*(D3-1)/5,sc_a_m6_P*(1+sc_a_growth_P)^(D3-6))</f>
        <v>12</v>
      </c>
      <c r="E9" s="12" t="n">
        <f aca="false">IF(E3&lt;=6,sc_a_start_P+(sc_a_m6_P-sc_a_start_P)*(E3-1)/5,sc_a_m6_P*(1+sc_a_growth_P)^(E3-6))</f>
        <v>16</v>
      </c>
      <c r="F9" s="12" t="n">
        <f aca="false">IF(F3&lt;=6,sc_a_start_P+(sc_a_m6_P-sc_a_start_P)*(F3-1)/5,sc_a_m6_P*(1+sc_a_growth_P)^(F3-6))</f>
        <v>20</v>
      </c>
      <c r="G9" s="12" t="n">
        <f aca="false">IF(G3&lt;=6,sc_a_start_P+(sc_a_m6_P-sc_a_start_P)*(G3-1)/5,sc_a_m6_P*(1+sc_a_growth_P)^(G3-6))</f>
        <v>24</v>
      </c>
      <c r="H9" s="12" t="n">
        <f aca="false">IF(H3&lt;=6,sc_a_start_P+(sc_a_m6_P-sc_a_start_P)*(H3-1)/5,sc_a_m6_P*(1+sc_a_growth_P)^(H3-6))</f>
        <v>28</v>
      </c>
      <c r="I9" s="12" t="n">
        <f aca="false">IF(I3&lt;=6,sc_a_start_P+(sc_a_m6_P-sc_a_start_P)*(I3-1)/5,sc_a_m6_P*(1+sc_a_growth_P)^(I3-6))</f>
        <v>28.56</v>
      </c>
      <c r="J9" s="12" t="n">
        <f aca="false">IF(J3&lt;=6,sc_a_start_P+(sc_a_m6_P-sc_a_start_P)*(J3-1)/5,sc_a_m6_P*(1+sc_a_growth_P)^(J3-6))</f>
        <v>29.1312</v>
      </c>
      <c r="K9" s="12" t="n">
        <f aca="false">IF(K3&lt;=6,sc_a_start_P+(sc_a_m6_P-sc_a_start_P)*(K3-1)/5,sc_a_m6_P*(1+sc_a_growth_P)^(K3-6))</f>
        <v>29.713824</v>
      </c>
      <c r="L9" s="12" t="n">
        <f aca="false">IF(L3&lt;=6,sc_a_start_P+(sc_a_m6_P-sc_a_start_P)*(L3-1)/5,sc_a_m6_P*(1+sc_a_growth_P)^(L3-6))</f>
        <v>30.30810048</v>
      </c>
      <c r="M9" s="12" t="n">
        <f aca="false">IF(M3&lt;=6,sc_a_start_P+(sc_a_m6_P-sc_a_start_P)*(M3-1)/5,sc_a_m6_P*(1+sc_a_growth_P)^(M3-6))</f>
        <v>30.9142624896</v>
      </c>
      <c r="N9" s="12" t="n">
        <f aca="false">IF(N3&lt;=6,sc_a_start_P+(sc_a_m6_P-sc_a_start_P)*(N3-1)/5,sc_a_m6_P*(1+sc_a_growth_P)^(N3-6))</f>
        <v>31.532547739392</v>
      </c>
      <c r="O9" s="12" t="n">
        <f aca="false">IF(O3&lt;=6,sc_a_start_P+(sc_a_m6_P-sc_a_start_P)*(O3-1)/5,sc_a_m6_P*(1+sc_a_growth_P)^(O3-6))</f>
        <v>32.1631986941798</v>
      </c>
      <c r="P9" s="12" t="n">
        <f aca="false">IF(P3&lt;=6,sc_a_start_P+(sc_a_m6_P-sc_a_start_P)*(P3-1)/5,sc_a_m6_P*(1+sc_a_growth_P)^(P3-6))</f>
        <v>32.8064626680634</v>
      </c>
      <c r="Q9" s="12" t="n">
        <f aca="false">IF(Q3&lt;=6,sc_a_start_P+(sc_a_m6_P-sc_a_start_P)*(Q3-1)/5,sc_a_m6_P*(1+sc_a_growth_P)^(Q3-6))</f>
        <v>33.4625919214247</v>
      </c>
      <c r="R9" s="12" t="n">
        <f aca="false">IF(R3&lt;=6,sc_a_start_P+(sc_a_m6_P-sc_a_start_P)*(R3-1)/5,sc_a_m6_P*(1+sc_a_growth_P)^(R3-6))</f>
        <v>34.1318437598532</v>
      </c>
      <c r="S9" s="12" t="n">
        <f aca="false">IF(S3&lt;=6,sc_a_start_P+(sc_a_m6_P-sc_a_start_P)*(S3-1)/5,sc_a_m6_P*(1+sc_a_growth_P)^(S3-6))</f>
        <v>34.8144806350503</v>
      </c>
      <c r="T9" s="12" t="n">
        <f aca="false">IF(T3&lt;=6,sc_a_start_P+(sc_a_m6_P-sc_a_start_P)*(T3-1)/5,sc_a_m6_P*(1+sc_a_growth_P)^(T3-6))</f>
        <v>35.5107702477513</v>
      </c>
      <c r="U9" s="12" t="n">
        <f aca="false">IF(U3&lt;=6,sc_a_start_P+(sc_a_m6_P-sc_a_start_P)*(U3-1)/5,sc_a_m6_P*(1+sc_a_growth_P)^(U3-6))</f>
        <v>36.2209856527063</v>
      </c>
      <c r="V9" s="12" t="n">
        <f aca="false">IF(V3&lt;=6,sc_a_start_P+(sc_a_m6_P-sc_a_start_P)*(V3-1)/5,sc_a_m6_P*(1+sc_a_growth_P)^(V3-6))</f>
        <v>36.9454053657604</v>
      </c>
      <c r="W9" s="12" t="n">
        <f aca="false">IF(W3&lt;=6,sc_a_start_P+(sc_a_m6_P-sc_a_start_P)*(W3-1)/5,sc_a_m6_P*(1+sc_a_growth_P)^(W3-6))</f>
        <v>37.6843134730756</v>
      </c>
      <c r="X9" s="12" t="n">
        <f aca="false">IF(X3&lt;=6,sc_a_start_P+(sc_a_m6_P-sc_a_start_P)*(X3-1)/5,sc_a_m6_P*(1+sc_a_growth_P)^(X3-6))</f>
        <v>38.4379997425372</v>
      </c>
      <c r="Y9" s="12" t="n">
        <f aca="false">IF(Y3&lt;=6,sc_a_start_P+(sc_a_m6_P-sc_a_start_P)*(Y3-1)/5,sc_a_m6_P*(1+sc_a_growth_P)^(Y3-6))</f>
        <v>39.2067597373879</v>
      </c>
      <c r="Z9" s="12" t="n">
        <f aca="false">IF(Z3&lt;=6,sc_a_start_P+(sc_a_m6_P-sc_a_start_P)*(Z3-1)/5,sc_a_m6_P*(1+sc_a_growth_P)^(Z3-6))</f>
        <v>39.9908949321357</v>
      </c>
    </row>
    <row r="10" customFormat="false" ht="15" hidden="false" customHeight="false" outlineLevel="0" collapsed="false">
      <c r="A10" s="2" t="s">
        <v>371</v>
      </c>
      <c r="B10" s="28" t="n">
        <f aca="false">SUM(C10:Z10)</f>
        <v>733.922019751104</v>
      </c>
      <c r="C10" s="12" t="n">
        <f aca="false">MIN(sc_a_cap_P,C9*C6)</f>
        <v>7.6</v>
      </c>
      <c r="D10" s="12" t="n">
        <f aca="false">MIN(sc_a_cap_P,D9*D6)</f>
        <v>14.4</v>
      </c>
      <c r="E10" s="12" t="n">
        <f aca="false">MIN(sc_a_cap_P,E9*E6)</f>
        <v>11.2</v>
      </c>
      <c r="F10" s="12" t="n">
        <f aca="false">MIN(sc_a_cap_P,F9*F6)</f>
        <v>16</v>
      </c>
      <c r="G10" s="12" t="n">
        <f aca="false">MIN(sc_a_cap_P,G9*G6)</f>
        <v>22.8</v>
      </c>
      <c r="H10" s="12" t="n">
        <f aca="false">MIN(sc_a_cap_P,H9*H6)</f>
        <v>32.2</v>
      </c>
      <c r="I10" s="12" t="n">
        <f aca="false">MIN(sc_a_cap_P,I9*I6)</f>
        <v>35.7</v>
      </c>
      <c r="J10" s="12" t="n">
        <f aca="false">MIN(sc_a_cap_P,J9*J6)</f>
        <v>32.04432</v>
      </c>
      <c r="K10" s="12" t="n">
        <f aca="false">MIN(sc_a_cap_P,K9*K6)</f>
        <v>26.7424416</v>
      </c>
      <c r="L10" s="12" t="n">
        <f aca="false">MIN(sc_a_cap_P,L9*L6)</f>
        <v>31.823505504</v>
      </c>
      <c r="M10" s="12" t="n">
        <f aca="false">MIN(sc_a_cap_P,M9*M6)</f>
        <v>34.00568873856</v>
      </c>
      <c r="N10" s="12" t="n">
        <f aca="false">MIN(sc_a_cap_P,N9*N6)</f>
        <v>31.532547739392</v>
      </c>
      <c r="O10" s="12" t="n">
        <f aca="false">MIN(sc_a_cap_P,O9*O6)</f>
        <v>30.5550387594708</v>
      </c>
      <c r="P10" s="12" t="n">
        <f aca="false">MIN(sc_a_cap_P,P9*P6)</f>
        <v>39.3677552016761</v>
      </c>
      <c r="Q10" s="12" t="n">
        <f aca="false">MIN(sc_a_cap_P,Q9*Q6)</f>
        <v>23.4238143449973</v>
      </c>
      <c r="R10" s="12" t="n">
        <f aca="false">MIN(sc_a_cap_P,R9*R6)</f>
        <v>27.3054750078826</v>
      </c>
      <c r="S10" s="12" t="n">
        <f aca="false">MIN(sc_a_cap_P,S9*S6)</f>
        <v>33.0737566032978</v>
      </c>
      <c r="T10" s="12" t="n">
        <f aca="false">MIN(sc_a_cap_P,T9*T6)</f>
        <v>40.837385784914</v>
      </c>
      <c r="U10" s="12" t="n">
        <f aca="false">MIN(sc_a_cap_P,U9*U6)</f>
        <v>45.2762320658829</v>
      </c>
      <c r="V10" s="12" t="n">
        <f aca="false">MIN(sc_a_cap_P,V9*V6)</f>
        <v>40.6399459023365</v>
      </c>
      <c r="W10" s="12" t="n">
        <f aca="false">MIN(sc_a_cap_P,W9*W6)</f>
        <v>33.9158821257681</v>
      </c>
      <c r="X10" s="12" t="n">
        <f aca="false">MIN(sc_a_cap_P,X9*X6)</f>
        <v>40.359899729664</v>
      </c>
      <c r="Y10" s="12" t="n">
        <f aca="false">MIN(sc_a_cap_P,Y9*Y6)</f>
        <v>43.1274357111267</v>
      </c>
      <c r="Z10" s="12" t="n">
        <f aca="false">MIN(sc_a_cap_P,Z9*Z6)</f>
        <v>39.9908949321357</v>
      </c>
    </row>
    <row r="11" customFormat="false" ht="15" hidden="false" customHeight="false" outlineLevel="0" collapsed="false">
      <c r="A11" s="2" t="s">
        <v>372</v>
      </c>
      <c r="B11" s="28" t="n">
        <f aca="false">SUM(C11:Z11)</f>
        <v>165.676265310472</v>
      </c>
      <c r="C11" s="12" t="n">
        <f aca="false">IF(C3&lt;=6,sc_s_start_P+(sc_s_m6_P-sc_s_start_P)*(C3-1)/5,sc_s_m6_P*(1+sc_s_growth_P)^(C3-6))</f>
        <v>2</v>
      </c>
      <c r="D11" s="12" t="n">
        <f aca="false">IF(D3&lt;=6,sc_s_start_P+(sc_s_m6_P-sc_s_start_P)*(D3-1)/5,sc_s_m6_P*(1+sc_s_growth_P)^(D3-6))</f>
        <v>3</v>
      </c>
      <c r="E11" s="12" t="n">
        <f aca="false">IF(E3&lt;=6,sc_s_start_P+(sc_s_m6_P-sc_s_start_P)*(E3-1)/5,sc_s_m6_P*(1+sc_s_growth_P)^(E3-6))</f>
        <v>4</v>
      </c>
      <c r="F11" s="12" t="n">
        <f aca="false">IF(F3&lt;=6,sc_s_start_P+(sc_s_m6_P-sc_s_start_P)*(F3-1)/5,sc_s_m6_P*(1+sc_s_growth_P)^(F3-6))</f>
        <v>5</v>
      </c>
      <c r="G11" s="12" t="n">
        <f aca="false">IF(G3&lt;=6,sc_s_start_P+(sc_s_m6_P-sc_s_start_P)*(G3-1)/5,sc_s_m6_P*(1+sc_s_growth_P)^(G3-6))</f>
        <v>6</v>
      </c>
      <c r="H11" s="12" t="n">
        <f aca="false">IF(H3&lt;=6,sc_s_start_P+(sc_s_m6_P-sc_s_start_P)*(H3-1)/5,sc_s_m6_P*(1+sc_s_growth_P)^(H3-6))</f>
        <v>7</v>
      </c>
      <c r="I11" s="12" t="n">
        <f aca="false">IF(I3&lt;=6,sc_s_start_P+(sc_s_m6_P-sc_s_start_P)*(I3-1)/5,sc_s_m6_P*(1+sc_s_growth_P)^(I3-6))</f>
        <v>7.07</v>
      </c>
      <c r="J11" s="12" t="n">
        <f aca="false">IF(J3&lt;=6,sc_s_start_P+(sc_s_m6_P-sc_s_start_P)*(J3-1)/5,sc_s_m6_P*(1+sc_s_growth_P)^(J3-6))</f>
        <v>7.1407</v>
      </c>
      <c r="K11" s="12" t="n">
        <f aca="false">IF(K3&lt;=6,sc_s_start_P+(sc_s_m6_P-sc_s_start_P)*(K3-1)/5,sc_s_m6_P*(1+sc_s_growth_P)^(K3-6))</f>
        <v>7.212107</v>
      </c>
      <c r="L11" s="12" t="n">
        <f aca="false">IF(L3&lt;=6,sc_s_start_P+(sc_s_m6_P-sc_s_start_P)*(L3-1)/5,sc_s_m6_P*(1+sc_s_growth_P)^(L3-6))</f>
        <v>7.28422807</v>
      </c>
      <c r="M11" s="12" t="n">
        <f aca="false">IF(M3&lt;=6,sc_s_start_P+(sc_s_m6_P-sc_s_start_P)*(M3-1)/5,sc_s_m6_P*(1+sc_s_growth_P)^(M3-6))</f>
        <v>7.3570703507</v>
      </c>
      <c r="N11" s="12" t="n">
        <f aca="false">IF(N3&lt;=6,sc_s_start_P+(sc_s_m6_P-sc_s_start_P)*(N3-1)/5,sc_s_m6_P*(1+sc_s_growth_P)^(N3-6))</f>
        <v>7.430641054207</v>
      </c>
      <c r="O11" s="12" t="n">
        <f aca="false">IF(O3&lt;=6,sc_s_start_P+(sc_s_m6_P-sc_s_start_P)*(O3-1)/5,sc_s_m6_P*(1+sc_s_growth_P)^(O3-6))</f>
        <v>7.50494746474907</v>
      </c>
      <c r="P11" s="12" t="n">
        <f aca="false">IF(P3&lt;=6,sc_s_start_P+(sc_s_m6_P-sc_s_start_P)*(P3-1)/5,sc_s_m6_P*(1+sc_s_growth_P)^(P3-6))</f>
        <v>7.57999693939656</v>
      </c>
      <c r="Q11" s="12" t="n">
        <f aca="false">IF(Q3&lt;=6,sc_s_start_P+(sc_s_m6_P-sc_s_start_P)*(Q3-1)/5,sc_s_m6_P*(1+sc_s_growth_P)^(Q3-6))</f>
        <v>7.65579690879053</v>
      </c>
      <c r="R11" s="12" t="n">
        <f aca="false">IF(R3&lt;=6,sc_s_start_P+(sc_s_m6_P-sc_s_start_P)*(R3-1)/5,sc_s_m6_P*(1+sc_s_growth_P)^(R3-6))</f>
        <v>7.73235487787843</v>
      </c>
      <c r="S11" s="12" t="n">
        <f aca="false">IF(S3&lt;=6,sc_s_start_P+(sc_s_m6_P-sc_s_start_P)*(S3-1)/5,sc_s_m6_P*(1+sc_s_growth_P)^(S3-6))</f>
        <v>7.80967842665722</v>
      </c>
      <c r="T11" s="12" t="n">
        <f aca="false">IF(T3&lt;=6,sc_s_start_P+(sc_s_m6_P-sc_s_start_P)*(T3-1)/5,sc_s_m6_P*(1+sc_s_growth_P)^(T3-6))</f>
        <v>7.88777521092379</v>
      </c>
      <c r="U11" s="12" t="n">
        <f aca="false">IF(U3&lt;=6,sc_s_start_P+(sc_s_m6_P-sc_s_start_P)*(U3-1)/5,sc_s_m6_P*(1+sc_s_growth_P)^(U3-6))</f>
        <v>7.96665296303303</v>
      </c>
      <c r="V11" s="12" t="n">
        <f aca="false">IF(V3&lt;=6,sc_s_start_P+(sc_s_m6_P-sc_s_start_P)*(V3-1)/5,sc_s_m6_P*(1+sc_s_growth_P)^(V3-6))</f>
        <v>8.04631949266336</v>
      </c>
      <c r="W11" s="12" t="n">
        <f aca="false">IF(W3&lt;=6,sc_s_start_P+(sc_s_m6_P-sc_s_start_P)*(W3-1)/5,sc_s_m6_P*(1+sc_s_growth_P)^(W3-6))</f>
        <v>8.12678268758999</v>
      </c>
      <c r="X11" s="12" t="n">
        <f aca="false">IF(X3&lt;=6,sc_s_start_P+(sc_s_m6_P-sc_s_start_P)*(X3-1)/5,sc_s_m6_P*(1+sc_s_growth_P)^(X3-6))</f>
        <v>8.20805051446589</v>
      </c>
      <c r="Y11" s="12" t="n">
        <f aca="false">IF(Y3&lt;=6,sc_s_start_P+(sc_s_m6_P-sc_s_start_P)*(Y3-1)/5,sc_s_m6_P*(1+sc_s_growth_P)^(Y3-6))</f>
        <v>8.29013101961055</v>
      </c>
      <c r="Z11" s="12" t="n">
        <f aca="false">IF(Z3&lt;=6,sc_s_start_P+(sc_s_m6_P-sc_s_start_P)*(Z3-1)/5,sc_s_m6_P*(1+sc_s_growth_P)^(Z3-6))</f>
        <v>8.37303232980666</v>
      </c>
    </row>
    <row r="12" customFormat="false" ht="15" hidden="false" customHeight="false" outlineLevel="0" collapsed="false">
      <c r="A12" s="2" t="s">
        <v>373</v>
      </c>
      <c r="C12" s="12" t="n">
        <f aca="false">C11</f>
        <v>2</v>
      </c>
      <c r="D12" s="12" t="n">
        <f aca="false">C12*(1-sc_churn_P)+D11</f>
        <v>4.76</v>
      </c>
      <c r="E12" s="12" t="n">
        <f aca="false">D12*(1-sc_churn_P)+E11</f>
        <v>8.1888</v>
      </c>
      <c r="F12" s="12" t="n">
        <f aca="false">E12*(1-sc_churn_P)+F11</f>
        <v>12.206144</v>
      </c>
      <c r="G12" s="12" t="n">
        <f aca="false">F12*(1-sc_churn_P)+G11</f>
        <v>16.74140672</v>
      </c>
      <c r="H12" s="12" t="n">
        <f aca="false">G12*(1-sc_churn_P)+H11</f>
        <v>21.7324379136</v>
      </c>
      <c r="I12" s="12" t="n">
        <f aca="false">H12*(1-sc_churn_P)+I11</f>
        <v>26.194545363968</v>
      </c>
      <c r="J12" s="12" t="n">
        <f aca="false">I12*(1-sc_churn_P)+J11</f>
        <v>30.1918999202918</v>
      </c>
      <c r="K12" s="12" t="n">
        <f aca="false">J12*(1-sc_churn_P)+K11</f>
        <v>33.7809789298568</v>
      </c>
      <c r="L12" s="12" t="n">
        <f aca="false">K12*(1-sc_churn_P)+L11</f>
        <v>37.011489528274</v>
      </c>
      <c r="M12" s="12" t="n">
        <f aca="false">L12*(1-sc_churn_P)+M11</f>
        <v>39.9271811355811</v>
      </c>
      <c r="N12" s="12" t="n">
        <f aca="false">M12*(1-sc_churn_P)+N11</f>
        <v>42.5665604535184</v>
      </c>
      <c r="O12" s="12" t="n">
        <f aca="false">N12*(1-sc_churn_P)+O11</f>
        <v>44.9635206638453</v>
      </c>
      <c r="P12" s="12" t="n">
        <f aca="false">O12*(1-sc_churn_P)+P11</f>
        <v>47.1478951235804</v>
      </c>
      <c r="Q12" s="12" t="n">
        <f aca="false">P12*(1-sc_churn_P)+Q11</f>
        <v>49.1459446175413</v>
      </c>
      <c r="R12" s="12" t="n">
        <f aca="false">Q12*(1-sc_churn_P)+R11</f>
        <v>50.9807861413148</v>
      </c>
      <c r="S12" s="12" t="n">
        <f aca="false">R12*(1-sc_churn_P)+S11</f>
        <v>52.6727702310142</v>
      </c>
      <c r="T12" s="12" t="n">
        <f aca="false">S12*(1-sc_churn_P)+T11</f>
        <v>54.2398130142163</v>
      </c>
      <c r="U12" s="12" t="n">
        <f aca="false">T12*(1-sc_churn_P)+U11</f>
        <v>55.6976884155434</v>
      </c>
      <c r="V12" s="12" t="n">
        <f aca="false">U12*(1-sc_churn_P)+V11</f>
        <v>57.0602852983415</v>
      </c>
      <c r="W12" s="12" t="n">
        <f aca="false">V12*(1-sc_churn_P)+W11</f>
        <v>58.3398337501305</v>
      </c>
      <c r="X12" s="12" t="n">
        <f aca="false">W12*(1-sc_churn_P)+X11</f>
        <v>59.5471042145808</v>
      </c>
      <c r="Y12" s="12" t="n">
        <f aca="false">X12*(1-sc_churn_P)+Y11</f>
        <v>60.6915827284416</v>
      </c>
      <c r="Z12" s="12" t="n">
        <f aca="false">Y12*(1-sc_churn_P)+Z11</f>
        <v>61.7816251308353</v>
      </c>
    </row>
    <row r="13" customFormat="false" ht="15" hidden="false" customHeight="false" outlineLevel="0" collapsed="false">
      <c r="A13" s="2" t="s">
        <v>374</v>
      </c>
      <c r="B13" s="28" t="n">
        <f aca="false">SUM(C13:Z13)</f>
        <v>2597.19682122453</v>
      </c>
      <c r="C13" s="12" t="n">
        <f aca="false">C12*UB_visits_per_month</f>
        <v>5.6</v>
      </c>
      <c r="D13" s="12" t="n">
        <f aca="false">D12*UB_visits_per_month</f>
        <v>13.328</v>
      </c>
      <c r="E13" s="12" t="n">
        <f aca="false">E12*UB_visits_per_month</f>
        <v>22.92864</v>
      </c>
      <c r="F13" s="12" t="n">
        <f aca="false">F12*UB_visits_per_month</f>
        <v>34.1772032</v>
      </c>
      <c r="G13" s="12" t="n">
        <f aca="false">G12*UB_visits_per_month</f>
        <v>46.875938816</v>
      </c>
      <c r="H13" s="12" t="n">
        <f aca="false">H12*UB_visits_per_month</f>
        <v>60.85082615808</v>
      </c>
      <c r="I13" s="12" t="n">
        <f aca="false">I12*UB_visits_per_month</f>
        <v>73.3447270191104</v>
      </c>
      <c r="J13" s="12" t="n">
        <f aca="false">J12*UB_visits_per_month</f>
        <v>84.5373197768171</v>
      </c>
      <c r="K13" s="12" t="n">
        <f aca="false">K12*UB_visits_per_month</f>
        <v>94.5867410035991</v>
      </c>
      <c r="L13" s="12" t="n">
        <f aca="false">L12*UB_visits_per_month</f>
        <v>103.632170679167</v>
      </c>
      <c r="M13" s="12" t="n">
        <f aca="false">M12*UB_visits_per_month</f>
        <v>111.796107179627</v>
      </c>
      <c r="N13" s="12" t="n">
        <f aca="false">N12*UB_visits_per_month</f>
        <v>119.186369269851</v>
      </c>
      <c r="O13" s="12" t="n">
        <f aca="false">O12*UB_visits_per_month</f>
        <v>125.897857858767</v>
      </c>
      <c r="P13" s="12" t="n">
        <f aca="false">P12*UB_visits_per_month</f>
        <v>132.014106346025</v>
      </c>
      <c r="Q13" s="12" t="n">
        <f aca="false">Q12*UB_visits_per_month</f>
        <v>137.608644929116</v>
      </c>
      <c r="R13" s="12" t="n">
        <f aca="false">R12*UB_visits_per_month</f>
        <v>142.746201195681</v>
      </c>
      <c r="S13" s="12" t="n">
        <f aca="false">S12*UB_visits_per_month</f>
        <v>147.48375664684</v>
      </c>
      <c r="T13" s="12" t="n">
        <f aca="false">T12*UB_visits_per_month</f>
        <v>151.871476439806</v>
      </c>
      <c r="U13" s="12" t="n">
        <f aca="false">U12*UB_visits_per_month</f>
        <v>155.953527563521</v>
      </c>
      <c r="V13" s="12" t="n">
        <f aca="false">V12*UB_visits_per_month</f>
        <v>159.768798835356</v>
      </c>
      <c r="W13" s="12" t="n">
        <f aca="false">W12*UB_visits_per_month</f>
        <v>163.351534500365</v>
      </c>
      <c r="X13" s="12" t="n">
        <f aca="false">X12*UB_visits_per_month</f>
        <v>166.731891800826</v>
      </c>
      <c r="Y13" s="12" t="n">
        <f aca="false">Y12*UB_visits_per_month</f>
        <v>169.936431639637</v>
      </c>
      <c r="Z13" s="12" t="n">
        <f aca="false">Z12*UB_visits_per_month</f>
        <v>172.988550366339</v>
      </c>
    </row>
    <row r="14" customFormat="false" ht="15" hidden="false" customHeight="false" outlineLevel="0" collapsed="false">
      <c r="A14" s="2" t="s">
        <v>375</v>
      </c>
      <c r="B14" s="28" t="n">
        <f aca="false">SUM(C14:Z14)</f>
        <v>220.176605925331</v>
      </c>
      <c r="C14" s="12" t="n">
        <f aca="false">C10*sc_spec_ratio_P</f>
        <v>2.28</v>
      </c>
      <c r="D14" s="12" t="n">
        <f aca="false">D10*sc_spec_ratio_P</f>
        <v>4.32</v>
      </c>
      <c r="E14" s="12" t="n">
        <f aca="false">E10*sc_spec_ratio_P</f>
        <v>3.36</v>
      </c>
      <c r="F14" s="12" t="n">
        <f aca="false">F10*sc_spec_ratio_P</f>
        <v>4.8</v>
      </c>
      <c r="G14" s="12" t="n">
        <f aca="false">G10*sc_spec_ratio_P</f>
        <v>6.84</v>
      </c>
      <c r="H14" s="12" t="n">
        <f aca="false">H10*sc_spec_ratio_P</f>
        <v>9.66</v>
      </c>
      <c r="I14" s="12" t="n">
        <f aca="false">I10*sc_spec_ratio_P</f>
        <v>10.71</v>
      </c>
      <c r="J14" s="12" t="n">
        <f aca="false">J10*sc_spec_ratio_P</f>
        <v>9.613296</v>
      </c>
      <c r="K14" s="12" t="n">
        <f aca="false">K10*sc_spec_ratio_P</f>
        <v>8.02273248</v>
      </c>
      <c r="L14" s="12" t="n">
        <f aca="false">L10*sc_spec_ratio_P</f>
        <v>9.5470516512</v>
      </c>
      <c r="M14" s="12" t="n">
        <f aca="false">M10*sc_spec_ratio_P</f>
        <v>10.201706621568</v>
      </c>
      <c r="N14" s="12" t="n">
        <f aca="false">N10*sc_spec_ratio_P</f>
        <v>9.4597643218176</v>
      </c>
      <c r="O14" s="12" t="n">
        <f aca="false">O10*sc_spec_ratio_P</f>
        <v>9.16651162784125</v>
      </c>
      <c r="P14" s="12" t="n">
        <f aca="false">P10*sc_spec_ratio_P</f>
        <v>11.8103265605028</v>
      </c>
      <c r="Q14" s="12" t="n">
        <f aca="false">Q10*sc_spec_ratio_P</f>
        <v>7.02714430349919</v>
      </c>
      <c r="R14" s="12" t="n">
        <f aca="false">R10*sc_spec_ratio_P</f>
        <v>8.19164250236477</v>
      </c>
      <c r="S14" s="12" t="n">
        <f aca="false">S10*sc_spec_ratio_P</f>
        <v>9.92212698098933</v>
      </c>
      <c r="T14" s="12" t="n">
        <f aca="false">T10*sc_spec_ratio_P</f>
        <v>12.2512157354742</v>
      </c>
      <c r="U14" s="12" t="n">
        <f aca="false">U10*sc_spec_ratio_P</f>
        <v>13.5828696197649</v>
      </c>
      <c r="V14" s="12" t="n">
        <f aca="false">V10*sc_spec_ratio_P</f>
        <v>12.1919837707009</v>
      </c>
      <c r="W14" s="12" t="n">
        <f aca="false">W10*sc_spec_ratio_P</f>
        <v>10.1747646377304</v>
      </c>
      <c r="X14" s="12" t="n">
        <f aca="false">X10*sc_spec_ratio_P</f>
        <v>12.1079699188992</v>
      </c>
      <c r="Y14" s="12" t="n">
        <f aca="false">Y10*sc_spec_ratio_P</f>
        <v>12.938230713338</v>
      </c>
      <c r="Z14" s="12" t="n">
        <f aca="false">Z10*sc_spec_ratio_P</f>
        <v>11.9972684796407</v>
      </c>
    </row>
    <row r="15" customFormat="false" ht="15" hidden="false" customHeight="false" outlineLevel="0" collapsed="false">
      <c r="A15" s="2" t="s">
        <v>376</v>
      </c>
      <c r="C15" s="26" t="n">
        <f aca="false">IF(C3&gt;=sc_b2b_start_P,MIN(sc_b2b_max_P,INT((C3-sc_b2b_start_P)/sc_b2b_step_P)+1),0)</f>
        <v>0</v>
      </c>
      <c r="D15" s="26" t="n">
        <f aca="false">IF(D3&gt;=sc_b2b_start_P,MIN(sc_b2b_max_P,INT((D3-sc_b2b_start_P)/sc_b2b_step_P)+1),0)</f>
        <v>0</v>
      </c>
      <c r="E15" s="26" t="n">
        <f aca="false">IF(E3&gt;=sc_b2b_start_P,MIN(sc_b2b_max_P,INT((E3-sc_b2b_start_P)/sc_b2b_step_P)+1),0)</f>
        <v>0</v>
      </c>
      <c r="F15" s="26" t="n">
        <f aca="false">IF(F3&gt;=sc_b2b_start_P,MIN(sc_b2b_max_P,INT((F3-sc_b2b_start_P)/sc_b2b_step_P)+1),0)</f>
        <v>0</v>
      </c>
      <c r="G15" s="26" t="n">
        <f aca="false">IF(G3&gt;=sc_b2b_start_P,MIN(sc_b2b_max_P,INT((G3-sc_b2b_start_P)/sc_b2b_step_P)+1),0)</f>
        <v>0</v>
      </c>
      <c r="H15" s="26" t="n">
        <f aca="false">IF(H3&gt;=sc_b2b_start_P,MIN(sc_b2b_max_P,INT((H3-sc_b2b_start_P)/sc_b2b_step_P)+1),0)</f>
        <v>0</v>
      </c>
      <c r="I15" s="26" t="n">
        <f aca="false">IF(I3&gt;=sc_b2b_start_P,MIN(sc_b2b_max_P,INT((I3-sc_b2b_start_P)/sc_b2b_step_P)+1),0)</f>
        <v>1</v>
      </c>
      <c r="J15" s="26" t="n">
        <f aca="false">IF(J3&gt;=sc_b2b_start_P,MIN(sc_b2b_max_P,INT((J3-sc_b2b_start_P)/sc_b2b_step_P)+1),0)</f>
        <v>1</v>
      </c>
      <c r="K15" s="26" t="n">
        <f aca="false">IF(K3&gt;=sc_b2b_start_P,MIN(sc_b2b_max_P,INT((K3-sc_b2b_start_P)/sc_b2b_step_P)+1),0)</f>
        <v>1</v>
      </c>
      <c r="L15" s="26" t="n">
        <f aca="false">IF(L3&gt;=sc_b2b_start_P,MIN(sc_b2b_max_P,INT((L3-sc_b2b_start_P)/sc_b2b_step_P)+1),0)</f>
        <v>1</v>
      </c>
      <c r="M15" s="26" t="n">
        <f aca="false">IF(M3&gt;=sc_b2b_start_P,MIN(sc_b2b_max_P,INT((M3-sc_b2b_start_P)/sc_b2b_step_P)+1),0)</f>
        <v>1</v>
      </c>
      <c r="N15" s="26" t="n">
        <f aca="false">IF(N3&gt;=sc_b2b_start_P,MIN(sc_b2b_max_P,INT((N3-sc_b2b_start_P)/sc_b2b_step_P)+1),0)</f>
        <v>1</v>
      </c>
      <c r="O15" s="26" t="n">
        <f aca="false">IF(O3&gt;=sc_b2b_start_P,MIN(sc_b2b_max_P,INT((O3-sc_b2b_start_P)/sc_b2b_step_P)+1),0)</f>
        <v>2</v>
      </c>
      <c r="P15" s="26" t="n">
        <f aca="false">IF(P3&gt;=sc_b2b_start_P,MIN(sc_b2b_max_P,INT((P3-sc_b2b_start_P)/sc_b2b_step_P)+1),0)</f>
        <v>2</v>
      </c>
      <c r="Q15" s="26" t="n">
        <f aca="false">IF(Q3&gt;=sc_b2b_start_P,MIN(sc_b2b_max_P,INT((Q3-sc_b2b_start_P)/sc_b2b_step_P)+1),0)</f>
        <v>2</v>
      </c>
      <c r="R15" s="26" t="n">
        <f aca="false">IF(R3&gt;=sc_b2b_start_P,MIN(sc_b2b_max_P,INT((R3-sc_b2b_start_P)/sc_b2b_step_P)+1),0)</f>
        <v>2</v>
      </c>
      <c r="S15" s="26" t="n">
        <f aca="false">IF(S3&gt;=sc_b2b_start_P,MIN(sc_b2b_max_P,INT((S3-sc_b2b_start_P)/sc_b2b_step_P)+1),0)</f>
        <v>2</v>
      </c>
      <c r="T15" s="26" t="n">
        <f aca="false">IF(T3&gt;=sc_b2b_start_P,MIN(sc_b2b_max_P,INT((T3-sc_b2b_start_P)/sc_b2b_step_P)+1),0)</f>
        <v>2</v>
      </c>
      <c r="U15" s="26" t="n">
        <f aca="false">IF(U3&gt;=sc_b2b_start_P,MIN(sc_b2b_max_P,INT((U3-sc_b2b_start_P)/sc_b2b_step_P)+1),0)</f>
        <v>2</v>
      </c>
      <c r="V15" s="26" t="n">
        <f aca="false">IF(V3&gt;=sc_b2b_start_P,MIN(sc_b2b_max_P,INT((V3-sc_b2b_start_P)/sc_b2b_step_P)+1),0)</f>
        <v>2</v>
      </c>
      <c r="W15" s="26" t="n">
        <f aca="false">IF(W3&gt;=sc_b2b_start_P,MIN(sc_b2b_max_P,INT((W3-sc_b2b_start_P)/sc_b2b_step_P)+1),0)</f>
        <v>2</v>
      </c>
      <c r="X15" s="26" t="n">
        <f aca="false">IF(X3&gt;=sc_b2b_start_P,MIN(sc_b2b_max_P,INT((X3-sc_b2b_start_P)/sc_b2b_step_P)+1),0)</f>
        <v>2</v>
      </c>
      <c r="Y15" s="26" t="n">
        <f aca="false">IF(Y3&gt;=sc_b2b_start_P,MIN(sc_b2b_max_P,INT((Y3-sc_b2b_start_P)/sc_b2b_step_P)+1),0)</f>
        <v>2</v>
      </c>
      <c r="Z15" s="26" t="n">
        <f aca="false">IF(Z3&gt;=sc_b2b_start_P,MIN(sc_b2b_max_P,INT((Z3-sc_b2b_start_P)/sc_b2b_step_P)+1),0)</f>
        <v>2</v>
      </c>
    </row>
    <row r="16" customFormat="false" ht="15" hidden="false" customHeight="false" outlineLevel="0" collapsed="false">
      <c r="A16" s="2" t="s">
        <v>377</v>
      </c>
      <c r="C16" s="12" t="n">
        <f aca="false">(C10*UA_man_hours+C13*UB_hours+C14*US_man_hours)/hours_per_fte+C15*b2b_fte</f>
        <v>0.8856</v>
      </c>
      <c r="D16" s="12" t="n">
        <f aca="false">(D10*UA_man_hours+D13*UB_hours+D14*US_man_hours)/hours_per_fte+D15*b2b_fte</f>
        <v>1.74138666666667</v>
      </c>
      <c r="E16" s="12" t="n">
        <f aca="false">(E10*UA_man_hours+E13*UB_hours+E14*US_man_hours)/hours_per_fte+E15*b2b_fte</f>
        <v>1.64753493333333</v>
      </c>
      <c r="F16" s="12" t="n">
        <f aca="false">(F10*UA_man_hours+F13*UB_hours+F14*US_man_hours)/hours_per_fte+F15*b2b_fte</f>
        <v>2.386801408</v>
      </c>
      <c r="G16" s="12" t="n">
        <f aca="false">(G10*UA_man_hours+G13*UB_hours+G14*US_man_hours)/hours_per_fte+G15*b2b_fte</f>
        <v>3.35857190570667</v>
      </c>
      <c r="H16" s="12" t="n">
        <f aca="false">(H10*UA_man_hours+H13*UB_hours+H14*US_man_hours)/hours_per_fte+H15*b2b_fte</f>
        <v>4.61838594368853</v>
      </c>
      <c r="I16" s="12" t="n">
        <f aca="false">(I10*UA_man_hours+I13*UB_hours+I14*US_man_hours)/hours_per_fte+I15*b2b_fte</f>
        <v>6.25757696377924</v>
      </c>
      <c r="J16" s="12" t="n">
        <f aca="false">(J10*UA_man_hours+J13*UB_hours+J14*US_man_hours)/hours_per_fte+J15*b2b_fte</f>
        <v>6.15560658145907</v>
      </c>
      <c r="K16" s="12" t="n">
        <f aca="false">(K10*UA_man_hours+K13*UB_hours+K14*US_man_hours)/hours_per_fte+K15*b2b_fte</f>
        <v>5.86343982235065</v>
      </c>
      <c r="L16" s="12" t="n">
        <f aca="false">(L10*UA_man_hours+L13*UB_hours+L14*US_man_hours)/hours_per_fte+L15*b2b_fte</f>
        <v>6.5792188625779</v>
      </c>
      <c r="M16" s="12" t="n">
        <f aca="false">(M10*UA_man_hours+M13*UB_hours+M14*US_man_hours)/hours_per_fte+M15*b2b_fte</f>
        <v>6.98647424888826</v>
      </c>
      <c r="N16" s="12" t="n">
        <f aca="false">(N10*UA_man_hours+N13*UB_hours+N14*US_man_hours)/hours_per_fte+N15*b2b_fte</f>
        <v>6.91324835840947</v>
      </c>
      <c r="O16" s="12" t="n">
        <f aca="false">(O10*UA_man_hours+O13*UB_hours+O14*US_man_hours)/hours_per_fte+O15*b2b_fte</f>
        <v>7.97275053347866</v>
      </c>
      <c r="P16" s="12" t="n">
        <f aca="false">(P10*UA_man_hours+P13*UB_hours+P14*US_man_hours)/hours_per_fte+P15*b2b_fte</f>
        <v>8.99085949810708</v>
      </c>
      <c r="Q16" s="12" t="n">
        <f aca="false">(Q10*UA_man_hours+Q13*UB_hours+Q14*US_man_hours)/hours_per_fte+Q15*b2b_fte</f>
        <v>7.53763393994909</v>
      </c>
      <c r="R16" s="12" t="n">
        <f aca="false">(R10*UA_man_hours+R13*UB_hours+R14*US_man_hours)/hours_per_fte+R15*b2b_fte</f>
        <v>8.0430885453489</v>
      </c>
      <c r="S16" s="12" t="n">
        <f aca="false">(S10*UA_man_hours+S13*UB_hours+S14*US_man_hours)/hours_per_fte+S15*b2b_fte</f>
        <v>8.72661414435384</v>
      </c>
      <c r="T16" s="12" t="n">
        <f aca="false">(T10*UA_man_hours+T13*UB_hours+T14*US_man_hours)/hours_per_fte+T15*b2b_fte</f>
        <v>9.60018143823025</v>
      </c>
      <c r="U16" s="12" t="n">
        <f aca="false">(U10*UA_man_hours+U13*UB_hours+U14*US_man_hours)/hours_per_fte+U15*b2b_fte</f>
        <v>10.1363546950265</v>
      </c>
      <c r="V16" s="12" t="n">
        <f aca="false">(V10*UA_man_hours+V13*UB_hours+V14*US_man_hours)/hours_per_fte+V15*b2b_fte</f>
        <v>9.76483993245707</v>
      </c>
      <c r="W16" s="12" t="n">
        <f aca="false">(W10*UA_man_hours+W13*UB_hours+W14*US_man_hours)/hours_per_fte+W15*b2b_fte</f>
        <v>9.18051342950149</v>
      </c>
      <c r="X16" s="12" t="n">
        <f aca="false">(X10*UA_man_hours+X13*UB_hours+X14*US_man_hours)/hours_per_fte+X15*b2b_fte</f>
        <v>9.89949418183257</v>
      </c>
      <c r="Y16" s="12" t="n">
        <f aca="false">(Y10*UA_man_hours+Y13*UB_hours+Y14*US_man_hours)/hours_per_fte+Y15*b2b_fte</f>
        <v>10.2491753522301</v>
      </c>
      <c r="Z16" s="12" t="n">
        <f aca="false">(Z10*UA_man_hours+Z13*UB_hours+Z14*US_man_hours)/hours_per_fte+Z15*b2b_fte</f>
        <v>10.00882840514</v>
      </c>
    </row>
    <row r="18" customFormat="false" ht="15" hidden="false" customHeight="false" outlineLevel="0" collapsed="false">
      <c r="A18" s="13" t="s">
        <v>378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customFormat="false" ht="15" hidden="false" customHeight="false" outlineLevel="0" collapsed="false">
      <c r="A19" s="2" t="s">
        <v>379</v>
      </c>
      <c r="B19" s="11" t="n">
        <f aca="false">SUM(C19:Z19)</f>
        <v>9907947.26663991</v>
      </c>
      <c r="C19" s="9" t="n">
        <f aca="false">C10*aov_a</f>
        <v>102600</v>
      </c>
      <c r="D19" s="9" t="n">
        <f aca="false">D10*aov_a</f>
        <v>194400</v>
      </c>
      <c r="E19" s="9" t="n">
        <f aca="false">E10*aov_a</f>
        <v>151200</v>
      </c>
      <c r="F19" s="9" t="n">
        <f aca="false">F10*aov_a</f>
        <v>216000</v>
      </c>
      <c r="G19" s="9" t="n">
        <f aca="false">G10*aov_a</f>
        <v>307800</v>
      </c>
      <c r="H19" s="9" t="n">
        <f aca="false">H10*aov_a</f>
        <v>434700</v>
      </c>
      <c r="I19" s="9" t="n">
        <f aca="false">I10*aov_a</f>
        <v>481950</v>
      </c>
      <c r="J19" s="9" t="n">
        <f aca="false">J10*aov_a</f>
        <v>432598.32</v>
      </c>
      <c r="K19" s="9" t="n">
        <f aca="false">K10*aov_a</f>
        <v>361022.9616</v>
      </c>
      <c r="L19" s="9" t="n">
        <f aca="false">L10*aov_a</f>
        <v>429617.324304</v>
      </c>
      <c r="M19" s="9" t="n">
        <f aca="false">M10*aov_a</f>
        <v>459076.79797056</v>
      </c>
      <c r="N19" s="9" t="n">
        <f aca="false">N10*aov_a</f>
        <v>425689.394481792</v>
      </c>
      <c r="O19" s="9" t="n">
        <f aca="false">O10*aov_a</f>
        <v>412493.023252856</v>
      </c>
      <c r="P19" s="9" t="n">
        <f aca="false">P10*aov_a</f>
        <v>531464.695222628</v>
      </c>
      <c r="Q19" s="9" t="n">
        <f aca="false">Q10*aov_a</f>
        <v>316221.493657464</v>
      </c>
      <c r="R19" s="9" t="n">
        <f aca="false">R10*aov_a</f>
        <v>368623.912606415</v>
      </c>
      <c r="S19" s="9" t="n">
        <f aca="false">S10*aov_a</f>
        <v>446495.71414452</v>
      </c>
      <c r="T19" s="9" t="n">
        <f aca="false">T10*aov_a</f>
        <v>551304.708096339</v>
      </c>
      <c r="U19" s="9" t="n">
        <f aca="false">U10*aov_a</f>
        <v>611229.132889419</v>
      </c>
      <c r="V19" s="9" t="n">
        <f aca="false">V10*aov_a</f>
        <v>548639.269681542</v>
      </c>
      <c r="W19" s="9" t="n">
        <f aca="false">W10*aov_a</f>
        <v>457864.408697869</v>
      </c>
      <c r="X19" s="9" t="n">
        <f aca="false">X10*aov_a</f>
        <v>544858.646350464</v>
      </c>
      <c r="Y19" s="9" t="n">
        <f aca="false">Y10*aov_a</f>
        <v>582220.38210021</v>
      </c>
      <c r="Z19" s="9" t="n">
        <f aca="false">Z10*aov_a</f>
        <v>539877.081583831</v>
      </c>
    </row>
    <row r="20" customFormat="false" ht="15" hidden="false" customHeight="false" outlineLevel="0" collapsed="false">
      <c r="A20" s="2" t="s">
        <v>380</v>
      </c>
      <c r="B20" s="11" t="n">
        <f aca="false">SUM(C20:Z20)</f>
        <v>8913579.49044259</v>
      </c>
      <c r="C20" s="9" t="n">
        <f aca="false">C13*price_b</f>
        <v>19219.2</v>
      </c>
      <c r="D20" s="9" t="n">
        <f aca="false">D13*price_b</f>
        <v>45741.696</v>
      </c>
      <c r="E20" s="9" t="n">
        <f aca="false">E13*price_b</f>
        <v>78691.09248</v>
      </c>
      <c r="F20" s="9" t="n">
        <f aca="false">F13*price_b</f>
        <v>117296.1613824</v>
      </c>
      <c r="G20" s="9" t="n">
        <f aca="false">G13*price_b</f>
        <v>160878.222016512</v>
      </c>
      <c r="H20" s="9" t="n">
        <f aca="false">H13*price_b</f>
        <v>208840.035374531</v>
      </c>
      <c r="I20" s="9" t="n">
        <f aca="false">I13*price_b</f>
        <v>251719.103129587</v>
      </c>
      <c r="J20" s="9" t="n">
        <f aca="false">J13*price_b</f>
        <v>290132.081474036</v>
      </c>
      <c r="K20" s="9" t="n">
        <f aca="false">K13*price_b</f>
        <v>324621.695124352</v>
      </c>
      <c r="L20" s="9" t="n">
        <f aca="false">L13*price_b</f>
        <v>355665.609770902</v>
      </c>
      <c r="M20" s="9" t="n">
        <f aca="false">M13*price_b</f>
        <v>383684.23984048</v>
      </c>
      <c r="N20" s="9" t="n">
        <f aca="false">N13*price_b</f>
        <v>409047.61933413</v>
      </c>
      <c r="O20" s="9" t="n">
        <f aca="false">O13*price_b</f>
        <v>432081.448171287</v>
      </c>
      <c r="P20" s="9" t="n">
        <f aca="false">P13*price_b</f>
        <v>453072.412979558</v>
      </c>
      <c r="Q20" s="9" t="n">
        <f aca="false">Q13*price_b</f>
        <v>472272.869396725</v>
      </c>
      <c r="R20" s="9" t="n">
        <f aca="false">R13*price_b</f>
        <v>489904.962503578</v>
      </c>
      <c r="S20" s="9" t="n">
        <f aca="false">S13*price_b</f>
        <v>506164.252811954</v>
      </c>
      <c r="T20" s="9" t="n">
        <f aca="false">T13*price_b</f>
        <v>521222.907141413</v>
      </c>
      <c r="U20" s="9" t="n">
        <f aca="false">U13*price_b</f>
        <v>535232.506598005</v>
      </c>
      <c r="V20" s="9" t="n">
        <f aca="false">V13*price_b</f>
        <v>548326.517602943</v>
      </c>
      <c r="W20" s="9" t="n">
        <f aca="false">W13*price_b</f>
        <v>560622.466405254</v>
      </c>
      <c r="X20" s="9" t="n">
        <f aca="false">X13*price_b</f>
        <v>572223.852660435</v>
      </c>
      <c r="Y20" s="9" t="n">
        <f aca="false">Y13*price_b</f>
        <v>583221.833387233</v>
      </c>
      <c r="Z20" s="9" t="n">
        <f aca="false">Z13*price_b</f>
        <v>593696.704857275</v>
      </c>
    </row>
    <row r="21" customFormat="false" ht="15" hidden="false" customHeight="false" outlineLevel="0" collapsed="false">
      <c r="A21" s="2" t="s">
        <v>381</v>
      </c>
      <c r="B21" s="11" t="n">
        <f aca="false">SUM(C21:Z21)</f>
        <v>990794.726663991</v>
      </c>
      <c r="C21" s="9" t="n">
        <f aca="false">C14*aov_s</f>
        <v>10260</v>
      </c>
      <c r="D21" s="9" t="n">
        <f aca="false">D14*aov_s</f>
        <v>19440</v>
      </c>
      <c r="E21" s="9" t="n">
        <f aca="false">E14*aov_s</f>
        <v>15120</v>
      </c>
      <c r="F21" s="9" t="n">
        <f aca="false">F14*aov_s</f>
        <v>21600</v>
      </c>
      <c r="G21" s="9" t="n">
        <f aca="false">G14*aov_s</f>
        <v>30780</v>
      </c>
      <c r="H21" s="9" t="n">
        <f aca="false">H14*aov_s</f>
        <v>43470</v>
      </c>
      <c r="I21" s="9" t="n">
        <f aca="false">I14*aov_s</f>
        <v>48195</v>
      </c>
      <c r="J21" s="9" t="n">
        <f aca="false">J14*aov_s</f>
        <v>43259.832</v>
      </c>
      <c r="K21" s="9" t="n">
        <f aca="false">K14*aov_s</f>
        <v>36102.29616</v>
      </c>
      <c r="L21" s="9" t="n">
        <f aca="false">L14*aov_s</f>
        <v>42961.7324304</v>
      </c>
      <c r="M21" s="9" t="n">
        <f aca="false">M14*aov_s</f>
        <v>45907.679797056</v>
      </c>
      <c r="N21" s="9" t="n">
        <f aca="false">N14*aov_s</f>
        <v>42568.9394481792</v>
      </c>
      <c r="O21" s="9" t="n">
        <f aca="false">O14*aov_s</f>
        <v>41249.3023252856</v>
      </c>
      <c r="P21" s="9" t="n">
        <f aca="false">P14*aov_s</f>
        <v>53146.4695222628</v>
      </c>
      <c r="Q21" s="9" t="n">
        <f aca="false">Q14*aov_s</f>
        <v>31622.1493657464</v>
      </c>
      <c r="R21" s="9" t="n">
        <f aca="false">R14*aov_s</f>
        <v>36862.3912606415</v>
      </c>
      <c r="S21" s="9" t="n">
        <f aca="false">S14*aov_s</f>
        <v>44649.571414452</v>
      </c>
      <c r="T21" s="9" t="n">
        <f aca="false">T14*aov_s</f>
        <v>55130.4708096339</v>
      </c>
      <c r="U21" s="9" t="n">
        <f aca="false">U14*aov_s</f>
        <v>61122.9132889419</v>
      </c>
      <c r="V21" s="9" t="n">
        <f aca="false">V14*aov_s</f>
        <v>54863.9269681542</v>
      </c>
      <c r="W21" s="9" t="n">
        <f aca="false">W14*aov_s</f>
        <v>45786.4408697869</v>
      </c>
      <c r="X21" s="9" t="n">
        <f aca="false">X14*aov_s</f>
        <v>54485.8646350464</v>
      </c>
      <c r="Y21" s="9" t="n">
        <f aca="false">Y14*aov_s</f>
        <v>58222.038210021</v>
      </c>
      <c r="Z21" s="9" t="n">
        <f aca="false">Z14*aov_s</f>
        <v>53987.7081583831</v>
      </c>
    </row>
    <row r="22" customFormat="false" ht="15" hidden="false" customHeight="false" outlineLevel="0" collapsed="false">
      <c r="A22" s="2" t="s">
        <v>382</v>
      </c>
      <c r="B22" s="11" t="n">
        <f aca="false">SUM(C22:Z22)</f>
        <v>1650000</v>
      </c>
      <c r="C22" s="9" t="n">
        <f aca="false">C15*b2b_value</f>
        <v>0</v>
      </c>
      <c r="D22" s="9" t="n">
        <f aca="false">D15*b2b_value</f>
        <v>0</v>
      </c>
      <c r="E22" s="9" t="n">
        <f aca="false">E15*b2b_value</f>
        <v>0</v>
      </c>
      <c r="F22" s="9" t="n">
        <f aca="false">F15*b2b_value</f>
        <v>0</v>
      </c>
      <c r="G22" s="9" t="n">
        <f aca="false">G15*b2b_value</f>
        <v>0</v>
      </c>
      <c r="H22" s="9" t="n">
        <f aca="false">H15*b2b_value</f>
        <v>0</v>
      </c>
      <c r="I22" s="9" t="n">
        <f aca="false">I15*b2b_value</f>
        <v>55000</v>
      </c>
      <c r="J22" s="9" t="n">
        <f aca="false">J15*b2b_value</f>
        <v>55000</v>
      </c>
      <c r="K22" s="9" t="n">
        <f aca="false">K15*b2b_value</f>
        <v>55000</v>
      </c>
      <c r="L22" s="9" t="n">
        <f aca="false">L15*b2b_value</f>
        <v>55000</v>
      </c>
      <c r="M22" s="9" t="n">
        <f aca="false">M15*b2b_value</f>
        <v>55000</v>
      </c>
      <c r="N22" s="9" t="n">
        <f aca="false">N15*b2b_value</f>
        <v>55000</v>
      </c>
      <c r="O22" s="9" t="n">
        <f aca="false">O15*b2b_value</f>
        <v>110000</v>
      </c>
      <c r="P22" s="9" t="n">
        <f aca="false">P15*b2b_value</f>
        <v>110000</v>
      </c>
      <c r="Q22" s="9" t="n">
        <f aca="false">Q15*b2b_value</f>
        <v>110000</v>
      </c>
      <c r="R22" s="9" t="n">
        <f aca="false">R15*b2b_value</f>
        <v>110000</v>
      </c>
      <c r="S22" s="9" t="n">
        <f aca="false">S15*b2b_value</f>
        <v>110000</v>
      </c>
      <c r="T22" s="9" t="n">
        <f aca="false">T15*b2b_value</f>
        <v>110000</v>
      </c>
      <c r="U22" s="9" t="n">
        <f aca="false">U15*b2b_value</f>
        <v>110000</v>
      </c>
      <c r="V22" s="9" t="n">
        <f aca="false">V15*b2b_value</f>
        <v>110000</v>
      </c>
      <c r="W22" s="9" t="n">
        <f aca="false">W15*b2b_value</f>
        <v>110000</v>
      </c>
      <c r="X22" s="9" t="n">
        <f aca="false">X15*b2b_value</f>
        <v>110000</v>
      </c>
      <c r="Y22" s="9" t="n">
        <f aca="false">Y15*b2b_value</f>
        <v>110000</v>
      </c>
      <c r="Z22" s="9" t="n">
        <f aca="false">Z15*b2b_value</f>
        <v>110000</v>
      </c>
    </row>
    <row r="23" customFormat="false" ht="15" hidden="false" customHeight="false" outlineLevel="0" collapsed="false">
      <c r="A23" s="10" t="s">
        <v>383</v>
      </c>
      <c r="B23" s="11" t="n">
        <f aca="false">SUM(C23:Z23)</f>
        <v>21462321.4837465</v>
      </c>
      <c r="C23" s="11" t="n">
        <f aca="false">SUM(C19:C22)</f>
        <v>132079.2</v>
      </c>
      <c r="D23" s="11" t="n">
        <f aca="false">SUM(D19:D22)</f>
        <v>259581.696</v>
      </c>
      <c r="E23" s="11" t="n">
        <f aca="false">SUM(E19:E22)</f>
        <v>245011.09248</v>
      </c>
      <c r="F23" s="11" t="n">
        <f aca="false">SUM(F19:F22)</f>
        <v>354896.1613824</v>
      </c>
      <c r="G23" s="11" t="n">
        <f aca="false">SUM(G19:G22)</f>
        <v>499458.222016512</v>
      </c>
      <c r="H23" s="11" t="n">
        <f aca="false">SUM(H19:H22)</f>
        <v>687010.035374531</v>
      </c>
      <c r="I23" s="11" t="n">
        <f aca="false">SUM(I19:I22)</f>
        <v>836864.103129587</v>
      </c>
      <c r="J23" s="11" t="n">
        <f aca="false">SUM(J19:J22)</f>
        <v>820990.233474036</v>
      </c>
      <c r="K23" s="11" t="n">
        <f aca="false">SUM(K19:K22)</f>
        <v>776746.952884352</v>
      </c>
      <c r="L23" s="11" t="n">
        <f aca="false">SUM(L19:L22)</f>
        <v>883244.666505302</v>
      </c>
      <c r="M23" s="11" t="n">
        <f aca="false">SUM(M19:M22)</f>
        <v>943668.717608096</v>
      </c>
      <c r="N23" s="11" t="n">
        <f aca="false">SUM(N19:N22)</f>
        <v>932305.953264102</v>
      </c>
      <c r="O23" s="11" t="n">
        <f aca="false">SUM(O19:O22)</f>
        <v>995823.77374943</v>
      </c>
      <c r="P23" s="11" t="n">
        <f aca="false">SUM(P19:P22)</f>
        <v>1147683.57772445</v>
      </c>
      <c r="Q23" s="11" t="n">
        <f aca="false">SUM(Q19:Q22)</f>
        <v>930116.512419934</v>
      </c>
      <c r="R23" s="11" t="n">
        <f aca="false">SUM(R19:R22)</f>
        <v>1005391.26637063</v>
      </c>
      <c r="S23" s="11" t="n">
        <f aca="false">SUM(S19:S22)</f>
        <v>1107309.53837093</v>
      </c>
      <c r="T23" s="11" t="n">
        <f aca="false">SUM(T19:T22)</f>
        <v>1237658.08604739</v>
      </c>
      <c r="U23" s="11" t="n">
        <f aca="false">SUM(U19:U22)</f>
        <v>1317584.55277637</v>
      </c>
      <c r="V23" s="11" t="n">
        <f aca="false">SUM(V19:V22)</f>
        <v>1261829.71425264</v>
      </c>
      <c r="W23" s="11" t="n">
        <f aca="false">SUM(W19:W22)</f>
        <v>1174273.31597291</v>
      </c>
      <c r="X23" s="11" t="n">
        <f aca="false">SUM(X19:X22)</f>
        <v>1281568.36364595</v>
      </c>
      <c r="Y23" s="11" t="n">
        <f aca="false">SUM(Y19:Y22)</f>
        <v>1333664.25369746</v>
      </c>
      <c r="Z23" s="11" t="n">
        <f aca="false">SUM(Z19:Z22)</f>
        <v>1297561.49459949</v>
      </c>
    </row>
    <row r="24" customFormat="false" ht="15" hidden="false" customHeight="false" outlineLevel="0" collapsed="false">
      <c r="A24" s="2" t="s">
        <v>384</v>
      </c>
      <c r="B24" s="11" t="n">
        <f aca="false">SUM(C24:Z24)</f>
        <v>12817008.259181</v>
      </c>
      <c r="C24" s="9" t="n">
        <f aca="false">C10*var_a+C13*var_b+C14*var_s+C15*b2b_direct</f>
        <v>75165.016</v>
      </c>
      <c r="D24" s="9" t="n">
        <f aca="false">D10*var_a+D13*var_b+D14*var_s+D15*b2b_direct</f>
        <v>148280.49408</v>
      </c>
      <c r="E24" s="9" t="n">
        <f aca="false">E10*var_a+E13*var_b+E14*var_s+E15*b2b_direct</f>
        <v>142430.9307904</v>
      </c>
      <c r="F24" s="9" t="n">
        <f aca="false">F10*var_a+F13*var_b+F14*var_s+F15*b2b_direct</f>
        <v>206540.531095552</v>
      </c>
      <c r="G24" s="9" t="n">
        <f aca="false">G10*var_a+G13*var_b+G14*var_s+G15*b2b_direct</f>
        <v>290379.675364086</v>
      </c>
      <c r="H24" s="9" t="n">
        <f aca="false">H10*var_a+H13*var_b+H14*var_s+H15*b2b_direct</f>
        <v>398553.238320395</v>
      </c>
      <c r="I24" s="9" t="n">
        <f aca="false">I10*var_a+I13*var_b+I14*var_s+I15*b2b_direct</f>
        <v>491958.830281948</v>
      </c>
      <c r="J24" s="9" t="n">
        <f aca="false">J10*var_a+J13*var_b+J14*var_s+J15*b2b_direct</f>
        <v>485761.310353714</v>
      </c>
      <c r="K24" s="9" t="n">
        <f aca="false">K10*var_a+K13*var_b+K14*var_s+K15*b2b_direct</f>
        <v>463433.288072325</v>
      </c>
      <c r="L24" s="9" t="n">
        <f aca="false">L10*var_a+L13*var_b+L14*var_s+L15*b2b_direct</f>
        <v>525122.90717236</v>
      </c>
      <c r="M24" s="9" t="n">
        <f aca="false">M10*var_a+M13*var_b+M14*var_s+M15*b2b_direct</f>
        <v>560848.669159458</v>
      </c>
      <c r="N24" s="9" t="n">
        <f aca="false">N10*var_a+N13*var_b+N14*var_s+N15*b2b_direct</f>
        <v>556263.81811883</v>
      </c>
      <c r="O24" s="9" t="n">
        <f aca="false">O10*var_a+O13*var_b+O14*var_s+O15*b2b_direct</f>
        <v>600029.101853177</v>
      </c>
      <c r="P24" s="9" t="n">
        <f aca="false">P10*var_a+P13*var_b+P14*var_s+P15*b2b_direct</f>
        <v>686374.004518173</v>
      </c>
      <c r="Q24" s="9" t="n">
        <f aca="false">Q10*var_a+Q13*var_b+Q14*var_s+Q15*b2b_direct</f>
        <v>566100.757194927</v>
      </c>
      <c r="R24" s="9" t="n">
        <f aca="false">R10*var_a+R13*var_b+R14*var_s+R15*b2b_direct</f>
        <v>609404.039914444</v>
      </c>
      <c r="S24" s="9" t="n">
        <f aca="false">S10*var_a+S13*var_b+S14*var_s+S15*b2b_direct</f>
        <v>667504.273925299</v>
      </c>
      <c r="T24" s="9" t="n">
        <f aca="false">T10*var_a+T13*var_b+T14*var_s+T15*b2b_direct</f>
        <v>741412.169119857</v>
      </c>
      <c r="U24" s="9" t="n">
        <f aca="false">U10*var_a+U13*var_b+U14*var_s+U15*b2b_direct</f>
        <v>787063.2664873</v>
      </c>
      <c r="V24" s="9" t="n">
        <f aca="false">V10*var_a+V13*var_b+V14*var_s+V15*b2b_direct</f>
        <v>756810.686817788</v>
      </c>
      <c r="W24" s="9" t="n">
        <f aca="false">W10*var_a+W13*var_b+W14*var_s+W15*b2b_direct</f>
        <v>708726.846054646</v>
      </c>
      <c r="X24" s="9" t="n">
        <f aca="false">X10*var_a+X13*var_b+X14*var_s+X15*b2b_direct</f>
        <v>769508.061801506</v>
      </c>
      <c r="Y24" s="9" t="n">
        <f aca="false">Y10*var_a+Y13*var_b+Y14*var_s+Y15*b2b_direct</f>
        <v>799393.340282293</v>
      </c>
      <c r="Z24" s="9" t="n">
        <f aca="false">Z10*var_a+Z13*var_b+Z14*var_s+Z15*b2b_direct</f>
        <v>779943.002402517</v>
      </c>
    </row>
    <row r="25" customFormat="false" ht="15" hidden="false" customHeight="false" outlineLevel="0" collapsed="false">
      <c r="A25" s="10" t="s">
        <v>285</v>
      </c>
      <c r="B25" s="11" t="n">
        <f aca="false">SUM(C25:Z25)</f>
        <v>8645313.22456549</v>
      </c>
      <c r="C25" s="11" t="n">
        <f aca="false">C23-C24</f>
        <v>56914.184</v>
      </c>
      <c r="D25" s="11" t="n">
        <f aca="false">D23-D24</f>
        <v>111301.20192</v>
      </c>
      <c r="E25" s="11" t="n">
        <f aca="false">E23-E24</f>
        <v>102580.1616896</v>
      </c>
      <c r="F25" s="11" t="n">
        <f aca="false">F23-F24</f>
        <v>148355.630286848</v>
      </c>
      <c r="G25" s="11" t="n">
        <f aca="false">G23-G24</f>
        <v>209078.546652426</v>
      </c>
      <c r="H25" s="11" t="n">
        <f aca="false">H23-H24</f>
        <v>288456.797054135</v>
      </c>
      <c r="I25" s="11" t="n">
        <f aca="false">I23-I24</f>
        <v>344905.272847639</v>
      </c>
      <c r="J25" s="11" t="n">
        <f aca="false">J23-J24</f>
        <v>335228.923120322</v>
      </c>
      <c r="K25" s="11" t="n">
        <f aca="false">K23-K24</f>
        <v>313313.664812028</v>
      </c>
      <c r="L25" s="11" t="n">
        <f aca="false">L23-L24</f>
        <v>358121.759332942</v>
      </c>
      <c r="M25" s="11" t="n">
        <f aca="false">M23-M24</f>
        <v>382820.048448639</v>
      </c>
      <c r="N25" s="11" t="n">
        <f aca="false">N23-N24</f>
        <v>376042.135145271</v>
      </c>
      <c r="O25" s="11" t="n">
        <f aca="false">O23-O24</f>
        <v>395794.671896253</v>
      </c>
      <c r="P25" s="11" t="n">
        <f aca="false">P23-P24</f>
        <v>461309.573206275</v>
      </c>
      <c r="Q25" s="11" t="n">
        <f aca="false">Q23-Q24</f>
        <v>364015.755225008</v>
      </c>
      <c r="R25" s="11" t="n">
        <f aca="false">R23-R24</f>
        <v>395987.22645619</v>
      </c>
      <c r="S25" s="11" t="n">
        <f aca="false">S23-S24</f>
        <v>439805.264445626</v>
      </c>
      <c r="T25" s="11" t="n">
        <f aca="false">T23-T24</f>
        <v>496245.916927528</v>
      </c>
      <c r="U25" s="11" t="n">
        <f aca="false">U23-U24</f>
        <v>530521.286289067</v>
      </c>
      <c r="V25" s="11" t="n">
        <f aca="false">V23-V24</f>
        <v>505019.027434851</v>
      </c>
      <c r="W25" s="11" t="n">
        <f aca="false">W23-W24</f>
        <v>465546.469918264</v>
      </c>
      <c r="X25" s="11" t="n">
        <f aca="false">X23-X24</f>
        <v>512060.301844439</v>
      </c>
      <c r="Y25" s="11" t="n">
        <f aca="false">Y23-Y24</f>
        <v>534270.913415171</v>
      </c>
      <c r="Z25" s="11" t="n">
        <f aca="false">Z23-Z24</f>
        <v>517618.492196972</v>
      </c>
    </row>
    <row r="26" customFormat="false" ht="15" hidden="false" customHeight="false" outlineLevel="0" collapsed="false">
      <c r="A26" s="2" t="s">
        <v>385</v>
      </c>
      <c r="B26" s="11" t="n">
        <f aca="false">SUM(C26:Z26)</f>
        <v>2051924.38905409</v>
      </c>
      <c r="C26" s="9" t="n">
        <f aca="false">C10*sc_cac_a_P+C11*sc_cac_b_P+C14*sc_cac_s_P</f>
        <v>22528</v>
      </c>
      <c r="D26" s="9" t="n">
        <f aca="false">D10*sc_cac_a_P+D11*sc_cac_b_P+D14*sc_cac_s_P</f>
        <v>39132</v>
      </c>
      <c r="E26" s="9" t="n">
        <f aca="false">E10*sc_cac_a_P+E11*sc_cac_b_P+E14*sc_cac_s_P</f>
        <v>37936</v>
      </c>
      <c r="F26" s="9" t="n">
        <f aca="false">F10*sc_cac_a_P+F11*sc_cac_b_P+F14*sc_cac_s_P</f>
        <v>50980</v>
      </c>
      <c r="G26" s="9" t="n">
        <f aca="false">G10*sc_cac_a_P+G11*sc_cac_b_P+G14*sc_cac_s_P</f>
        <v>67584</v>
      </c>
      <c r="H26" s="9" t="n">
        <f aca="false">H10*sc_cac_a_P+H11*sc_cac_b_P+H14*sc_cac_s_P</f>
        <v>88816</v>
      </c>
      <c r="I26" s="9" t="n">
        <f aca="false">I10*sc_cac_a_P+I11*sc_cac_b_P+I14*sc_cac_s_P</f>
        <v>95361</v>
      </c>
      <c r="J26" s="9" t="n">
        <f aca="false">J10*sc_cac_a_P+J11*sc_cac_b_P+J14*sc_cac_s_P</f>
        <v>89172.0396</v>
      </c>
      <c r="K26" s="9" t="n">
        <f aca="false">K10*sc_cac_a_P+K11*sc_cac_b_P+K14*sc_cac_s_P</f>
        <v>80056.027548</v>
      </c>
      <c r="L26" s="9" t="n">
        <f aca="false">L10*sc_cac_a_P+L11*sc_cac_b_P+L14*sc_cac_s_P</f>
        <v>89424.86611212</v>
      </c>
      <c r="M26" s="9" t="n">
        <f aca="false">M10*sc_cac_a_P+M11*sc_cac_b_P+M14*sc_cac_s_P</f>
        <v>93636.9425327868</v>
      </c>
      <c r="N26" s="9" t="n">
        <f aca="false">N10*sc_cac_a_P+N11*sc_cac_b_P+N14*sc_cac_s_P</f>
        <v>89565.8197200493</v>
      </c>
      <c r="O26" s="9" t="n">
        <f aca="false">O10*sc_cac_a_P+O11*sc_cac_b_P+O14*sc_cac_s_P</f>
        <v>88160.2325832289</v>
      </c>
      <c r="P26" s="9" t="n">
        <f aca="false">P10*sc_cac_a_P+P11*sc_cac_b_P+P14*sc_cac_s_P</f>
        <v>104184.590486268</v>
      </c>
      <c r="Q26" s="9" t="n">
        <f aca="false">Q10*sc_cac_a_P+Q11*sc_cac_b_P+Q14*sc_cac_s_P</f>
        <v>76145.4756236525</v>
      </c>
      <c r="R26" s="9" t="n">
        <f aca="false">R10*sc_cac_a_P+R11*sc_cac_b_P+R14*sc_cac_s_P</f>
        <v>83399.3424644839</v>
      </c>
      <c r="S26" s="9" t="n">
        <f aca="false">S10*sc_cac_a_P+S11*sc_cac_b_P+S14*sc_cac_s_P</f>
        <v>94014.8396738275</v>
      </c>
      <c r="T26" s="9" t="n">
        <f aca="false">T10*sc_cac_a_P+T11*sc_cac_b_P+T14*sc_cac_s_P</f>
        <v>108185.535146304</v>
      </c>
      <c r="U26" s="9" t="n">
        <f aca="false">U10*sc_cac_a_P+U11*sc_cac_b_P+U14*sc_cac_s_P</f>
        <v>116441.63141092</v>
      </c>
      <c r="V26" s="9" t="n">
        <f aca="false">V10*sc_cac_a_P+V11*sc_cac_b_P+V14*sc_cac_s_P</f>
        <v>108547.541423144</v>
      </c>
      <c r="W26" s="9" t="n">
        <f aca="false">W10*sc_cac_a_P+W11*sc_cac_b_P+W14*sc_cac_s_P</f>
        <v>96940.7922780221</v>
      </c>
      <c r="X26" s="9" t="n">
        <f aca="false">X10*sc_cac_a_P+X11*sc_cac_b_P+X14*sc_cac_s_P</f>
        <v>108776.848833898</v>
      </c>
      <c r="Y26" s="9" t="n">
        <f aca="false">Y10*sc_cac_a_P+Y11*sc_cac_b_P+Y14*sc_cac_s_P</f>
        <v>114072.425154053</v>
      </c>
      <c r="Z26" s="9" t="n">
        <f aca="false">Z10*sc_cac_a_P+Z11*sc_cac_b_P+Z14*sc_cac_s_P</f>
        <v>108862.438463331</v>
      </c>
    </row>
    <row r="27" customFormat="false" ht="15" hidden="false" customHeight="false" outlineLevel="0" collapsed="false">
      <c r="A27" s="2" t="s">
        <v>386</v>
      </c>
      <c r="B27" s="11" t="n">
        <f aca="false">SUM(C27:Z27)</f>
        <v>4310400</v>
      </c>
      <c r="C27" s="9" t="n">
        <f aca="false">fix_base+fix_step_cost*INT(C23/fix_rev_step)</f>
        <v>179600</v>
      </c>
      <c r="D27" s="9" t="n">
        <f aca="false">fix_base+fix_step_cost*INT(D23/fix_rev_step)</f>
        <v>179600</v>
      </c>
      <c r="E27" s="9" t="n">
        <f aca="false">fix_base+fix_step_cost*INT(E23/fix_rev_step)</f>
        <v>179600</v>
      </c>
      <c r="F27" s="9" t="n">
        <f aca="false">fix_base+fix_step_cost*INT(F23/fix_rev_step)</f>
        <v>179600</v>
      </c>
      <c r="G27" s="9" t="n">
        <f aca="false">fix_base+fix_step_cost*INT(G23/fix_rev_step)</f>
        <v>179600</v>
      </c>
      <c r="H27" s="9" t="n">
        <f aca="false">fix_base+fix_step_cost*INT(H23/fix_rev_step)</f>
        <v>179600</v>
      </c>
      <c r="I27" s="9" t="n">
        <f aca="false">fix_base+fix_step_cost*INT(I23/fix_rev_step)</f>
        <v>179600</v>
      </c>
      <c r="J27" s="9" t="n">
        <f aca="false">fix_base+fix_step_cost*INT(J23/fix_rev_step)</f>
        <v>179600</v>
      </c>
      <c r="K27" s="9" t="n">
        <f aca="false">fix_base+fix_step_cost*INT(K23/fix_rev_step)</f>
        <v>179600</v>
      </c>
      <c r="L27" s="9" t="n">
        <f aca="false">fix_base+fix_step_cost*INT(L23/fix_rev_step)</f>
        <v>179600</v>
      </c>
      <c r="M27" s="9" t="n">
        <f aca="false">fix_base+fix_step_cost*INT(M23/fix_rev_step)</f>
        <v>179600</v>
      </c>
      <c r="N27" s="9" t="n">
        <f aca="false">fix_base+fix_step_cost*INT(N23/fix_rev_step)</f>
        <v>179600</v>
      </c>
      <c r="O27" s="9" t="n">
        <f aca="false">fix_base+fix_step_cost*INT(O23/fix_rev_step)</f>
        <v>179600</v>
      </c>
      <c r="P27" s="9" t="n">
        <f aca="false">fix_base+fix_step_cost*INT(P23/fix_rev_step)</f>
        <v>179600</v>
      </c>
      <c r="Q27" s="9" t="n">
        <f aca="false">fix_base+fix_step_cost*INT(Q23/fix_rev_step)</f>
        <v>179600</v>
      </c>
      <c r="R27" s="9" t="n">
        <f aca="false">fix_base+fix_step_cost*INT(R23/fix_rev_step)</f>
        <v>179600</v>
      </c>
      <c r="S27" s="9" t="n">
        <f aca="false">fix_base+fix_step_cost*INT(S23/fix_rev_step)</f>
        <v>179600</v>
      </c>
      <c r="T27" s="9" t="n">
        <f aca="false">fix_base+fix_step_cost*INT(T23/fix_rev_step)</f>
        <v>179600</v>
      </c>
      <c r="U27" s="9" t="n">
        <f aca="false">fix_base+fix_step_cost*INT(U23/fix_rev_step)</f>
        <v>179600</v>
      </c>
      <c r="V27" s="9" t="n">
        <f aca="false">fix_base+fix_step_cost*INT(V23/fix_rev_step)</f>
        <v>179600</v>
      </c>
      <c r="W27" s="9" t="n">
        <f aca="false">fix_base+fix_step_cost*INT(W23/fix_rev_step)</f>
        <v>179600</v>
      </c>
      <c r="X27" s="9" t="n">
        <f aca="false">fix_base+fix_step_cost*INT(X23/fix_rev_step)</f>
        <v>179600</v>
      </c>
      <c r="Y27" s="9" t="n">
        <f aca="false">fix_base+fix_step_cost*INT(Y23/fix_rev_step)</f>
        <v>179600</v>
      </c>
      <c r="Z27" s="9" t="n">
        <f aca="false">fix_base+fix_step_cost*INT(Z23/fix_rev_step)</f>
        <v>179600</v>
      </c>
    </row>
    <row r="28" customFormat="false" ht="15" hidden="false" customHeight="false" outlineLevel="0" collapsed="false">
      <c r="A28" s="2" t="s">
        <v>387</v>
      </c>
      <c r="C28" s="26" t="n">
        <f aca="false">IF(OR(SUMIFS($C$23:$Z$23,$C$4:$Z$4,C4-1)&gt;vat_threshold,SUMIFS($C$23:$Z$23,$C$4:$Z$4,C4,$C$3:$Z$3,"&lt;"&amp;C3)&gt;vat_threshold),1,0)</f>
        <v>0</v>
      </c>
      <c r="D28" s="26" t="n">
        <f aca="false">IF(OR(SUMIFS($C$23:$Z$23,$C$4:$Z$4,D4-1)&gt;vat_threshold,SUMIFS($C$23:$Z$23,$C$4:$Z$4,D4,$C$3:$Z$3,"&lt;"&amp;D3)&gt;vat_threshold),1,0)</f>
        <v>0</v>
      </c>
      <c r="E28" s="26" t="n">
        <f aca="false">IF(OR(SUMIFS($C$23:$Z$23,$C$4:$Z$4,E4-1)&gt;vat_threshold,SUMIFS($C$23:$Z$23,$C$4:$Z$4,E4,$C$3:$Z$3,"&lt;"&amp;E3)&gt;vat_threshold),1,0)</f>
        <v>0</v>
      </c>
      <c r="F28" s="26" t="n">
        <f aca="false">IF(OR(SUMIFS($C$23:$Z$23,$C$4:$Z$4,F4-1)&gt;vat_threshold,SUMIFS($C$23:$Z$23,$C$4:$Z$4,F4,$C$3:$Z$3,"&lt;"&amp;F3)&gt;vat_threshold),1,0)</f>
        <v>0</v>
      </c>
      <c r="G28" s="26" t="n">
        <f aca="false">IF(OR(SUMIFS($C$23:$Z$23,$C$4:$Z$4,G4-1)&gt;vat_threshold,SUMIFS($C$23:$Z$23,$C$4:$Z$4,G4,$C$3:$Z$3,"&lt;"&amp;G3)&gt;vat_threshold),1,0)</f>
        <v>0</v>
      </c>
      <c r="H28" s="26" t="n">
        <f aca="false">IF(OR(SUMIFS($C$23:$Z$23,$C$4:$Z$4,H4-1)&gt;vat_threshold,SUMIFS($C$23:$Z$23,$C$4:$Z$4,H4,$C$3:$Z$3,"&lt;"&amp;H3)&gt;vat_threshold),1,0)</f>
        <v>0</v>
      </c>
      <c r="I28" s="26" t="n">
        <f aca="false">IF(OR(SUMIFS($C$23:$Z$23,$C$4:$Z$4,I4-1)&gt;vat_threshold,SUMIFS($C$23:$Z$23,$C$4:$Z$4,I4,$C$3:$Z$3,"&lt;"&amp;I3)&gt;vat_threshold),1,0)</f>
        <v>0</v>
      </c>
      <c r="J28" s="26" t="n">
        <f aca="false">IF(OR(SUMIFS($C$23:$Z$23,$C$4:$Z$4,J4-1)&gt;vat_threshold,SUMIFS($C$23:$Z$23,$C$4:$Z$4,J4,$C$3:$Z$3,"&lt;"&amp;J3)&gt;vat_threshold),1,0)</f>
        <v>0</v>
      </c>
      <c r="K28" s="26" t="n">
        <f aca="false">IF(OR(SUMIFS($C$23:$Z$23,$C$4:$Z$4,K4-1)&gt;vat_threshold,SUMIFS($C$23:$Z$23,$C$4:$Z$4,K4,$C$3:$Z$3,"&lt;"&amp;K3)&gt;vat_threshold),1,0)</f>
        <v>0</v>
      </c>
      <c r="L28" s="26" t="n">
        <f aca="false">IF(OR(SUMIFS($C$23:$Z$23,$C$4:$Z$4,L4-1)&gt;vat_threshold,SUMIFS($C$23:$Z$23,$C$4:$Z$4,L4,$C$3:$Z$3,"&lt;"&amp;L3)&gt;vat_threshold),1,0)</f>
        <v>0</v>
      </c>
      <c r="M28" s="26" t="n">
        <f aca="false">IF(OR(SUMIFS($C$23:$Z$23,$C$4:$Z$4,M4-1)&gt;vat_threshold,SUMIFS($C$23:$Z$23,$C$4:$Z$4,M4,$C$3:$Z$3,"&lt;"&amp;M3)&gt;vat_threshold),1,0)</f>
        <v>0</v>
      </c>
      <c r="N28" s="26" t="n">
        <f aca="false">IF(OR(SUMIFS($C$23:$Z$23,$C$4:$Z$4,N4-1)&gt;vat_threshold,SUMIFS($C$23:$Z$23,$C$4:$Z$4,N4,$C$3:$Z$3,"&lt;"&amp;N3)&gt;vat_threshold),1,0)</f>
        <v>0</v>
      </c>
      <c r="O28" s="26" t="n">
        <f aca="false">IF(OR(SUMIFS($C$23:$Z$23,$C$4:$Z$4,O4-1)&gt;vat_threshold,SUMIFS($C$23:$Z$23,$C$4:$Z$4,O4,$C$3:$Z$3,"&lt;"&amp;O3)&gt;vat_threshold),1,0)</f>
        <v>0</v>
      </c>
      <c r="P28" s="26" t="n">
        <f aca="false">IF(OR(SUMIFS($C$23:$Z$23,$C$4:$Z$4,P4-1)&gt;vat_threshold,SUMIFS($C$23:$Z$23,$C$4:$Z$4,P4,$C$3:$Z$3,"&lt;"&amp;P3)&gt;vat_threshold),1,0)</f>
        <v>0</v>
      </c>
      <c r="Q28" s="26" t="n">
        <f aca="false">IF(OR(SUMIFS($C$23:$Z$23,$C$4:$Z$4,Q4-1)&gt;vat_threshold,SUMIFS($C$23:$Z$23,$C$4:$Z$4,Q4,$C$3:$Z$3,"&lt;"&amp;Q3)&gt;vat_threshold),1,0)</f>
        <v>0</v>
      </c>
      <c r="R28" s="26" t="n">
        <f aca="false">IF(OR(SUMIFS($C$23:$Z$23,$C$4:$Z$4,R4-1)&gt;vat_threshold,SUMIFS($C$23:$Z$23,$C$4:$Z$4,R4,$C$3:$Z$3,"&lt;"&amp;R3)&gt;vat_threshold),1,0)</f>
        <v>0</v>
      </c>
      <c r="S28" s="26" t="n">
        <f aca="false">IF(OR(SUMIFS($C$23:$Z$23,$C$4:$Z$4,S4-1)&gt;vat_threshold,SUMIFS($C$23:$Z$23,$C$4:$Z$4,S4,$C$3:$Z$3,"&lt;"&amp;S3)&gt;vat_threshold),1,0)</f>
        <v>0</v>
      </c>
      <c r="T28" s="26" t="n">
        <f aca="false">IF(OR(SUMIFS($C$23:$Z$23,$C$4:$Z$4,T4-1)&gt;vat_threshold,SUMIFS($C$23:$Z$23,$C$4:$Z$4,T4,$C$3:$Z$3,"&lt;"&amp;T3)&gt;vat_threshold),1,0)</f>
        <v>0</v>
      </c>
      <c r="U28" s="26" t="n">
        <f aca="false">IF(OR(SUMIFS($C$23:$Z$23,$C$4:$Z$4,U4-1)&gt;vat_threshold,SUMIFS($C$23:$Z$23,$C$4:$Z$4,U4,$C$3:$Z$3,"&lt;"&amp;U3)&gt;vat_threshold),1,0)</f>
        <v>0</v>
      </c>
      <c r="V28" s="26" t="n">
        <f aca="false">IF(OR(SUMIFS($C$23:$Z$23,$C$4:$Z$4,V4-1)&gt;vat_threshold,SUMIFS($C$23:$Z$23,$C$4:$Z$4,V4,$C$3:$Z$3,"&lt;"&amp;V3)&gt;vat_threshold),1,0)</f>
        <v>0</v>
      </c>
      <c r="W28" s="26" t="n">
        <f aca="false">IF(OR(SUMIFS($C$23:$Z$23,$C$4:$Z$4,W4-1)&gt;vat_threshold,SUMIFS($C$23:$Z$23,$C$4:$Z$4,W4,$C$3:$Z$3,"&lt;"&amp;W3)&gt;vat_threshold),1,0)</f>
        <v>0</v>
      </c>
      <c r="X28" s="26" t="n">
        <f aca="false">IF(OR(SUMIFS($C$23:$Z$23,$C$4:$Z$4,X4-1)&gt;vat_threshold,SUMIFS($C$23:$Z$23,$C$4:$Z$4,X4,$C$3:$Z$3,"&lt;"&amp;X3)&gt;vat_threshold),1,0)</f>
        <v>0</v>
      </c>
      <c r="Y28" s="26" t="n">
        <f aca="false">IF(OR(SUMIFS($C$23:$Z$23,$C$4:$Z$4,Y4-1)&gt;vat_threshold,SUMIFS($C$23:$Z$23,$C$4:$Z$4,Y4,$C$3:$Z$3,"&lt;"&amp;Y3)&gt;vat_threshold),1,0)</f>
        <v>0</v>
      </c>
      <c r="Z28" s="26" t="n">
        <f aca="false">IF(OR(SUMIFS($C$23:$Z$23,$C$4:$Z$4,Z4-1)&gt;vat_threshold,SUMIFS($C$23:$Z$23,$C$4:$Z$4,Z4,$C$3:$Z$3,"&lt;"&amp;Z3)&gt;vat_threshold),1,0)</f>
        <v>0</v>
      </c>
    </row>
    <row r="29" customFormat="false" ht="15" hidden="false" customHeight="false" outlineLevel="0" collapsed="false">
      <c r="A29" s="2" t="s">
        <v>388</v>
      </c>
      <c r="B29" s="11" t="n">
        <f aca="false">SUM(C29:Z29)</f>
        <v>0</v>
      </c>
      <c r="C29" s="9" t="n">
        <f aca="false">C23*vat_rate/(1+vat_rate)*C28</f>
        <v>0</v>
      </c>
      <c r="D29" s="9" t="n">
        <f aca="false">D23*vat_rate/(1+vat_rate)*D28</f>
        <v>0</v>
      </c>
      <c r="E29" s="9" t="n">
        <f aca="false">E23*vat_rate/(1+vat_rate)*E28</f>
        <v>0</v>
      </c>
      <c r="F29" s="9" t="n">
        <f aca="false">F23*vat_rate/(1+vat_rate)*F28</f>
        <v>0</v>
      </c>
      <c r="G29" s="9" t="n">
        <f aca="false">G23*vat_rate/(1+vat_rate)*G28</f>
        <v>0</v>
      </c>
      <c r="H29" s="9" t="n">
        <f aca="false">H23*vat_rate/(1+vat_rate)*H28</f>
        <v>0</v>
      </c>
      <c r="I29" s="9" t="n">
        <f aca="false">I23*vat_rate/(1+vat_rate)*I28</f>
        <v>0</v>
      </c>
      <c r="J29" s="9" t="n">
        <f aca="false">J23*vat_rate/(1+vat_rate)*J28</f>
        <v>0</v>
      </c>
      <c r="K29" s="9" t="n">
        <f aca="false">K23*vat_rate/(1+vat_rate)*K28</f>
        <v>0</v>
      </c>
      <c r="L29" s="9" t="n">
        <f aca="false">L23*vat_rate/(1+vat_rate)*L28</f>
        <v>0</v>
      </c>
      <c r="M29" s="9" t="n">
        <f aca="false">M23*vat_rate/(1+vat_rate)*M28</f>
        <v>0</v>
      </c>
      <c r="N29" s="9" t="n">
        <f aca="false">N23*vat_rate/(1+vat_rate)*N28</f>
        <v>0</v>
      </c>
      <c r="O29" s="9" t="n">
        <f aca="false">O23*vat_rate/(1+vat_rate)*O28</f>
        <v>0</v>
      </c>
      <c r="P29" s="9" t="n">
        <f aca="false">P23*vat_rate/(1+vat_rate)*P28</f>
        <v>0</v>
      </c>
      <c r="Q29" s="9" t="n">
        <f aca="false">Q23*vat_rate/(1+vat_rate)*Q28</f>
        <v>0</v>
      </c>
      <c r="R29" s="9" t="n">
        <f aca="false">R23*vat_rate/(1+vat_rate)*R28</f>
        <v>0</v>
      </c>
      <c r="S29" s="9" t="n">
        <f aca="false">S23*vat_rate/(1+vat_rate)*S28</f>
        <v>0</v>
      </c>
      <c r="T29" s="9" t="n">
        <f aca="false">T23*vat_rate/(1+vat_rate)*T28</f>
        <v>0</v>
      </c>
      <c r="U29" s="9" t="n">
        <f aca="false">U23*vat_rate/(1+vat_rate)*U28</f>
        <v>0</v>
      </c>
      <c r="V29" s="9" t="n">
        <f aca="false">V23*vat_rate/(1+vat_rate)*V28</f>
        <v>0</v>
      </c>
      <c r="W29" s="9" t="n">
        <f aca="false">W23*vat_rate/(1+vat_rate)*W28</f>
        <v>0</v>
      </c>
      <c r="X29" s="9" t="n">
        <f aca="false">X23*vat_rate/(1+vat_rate)*X28</f>
        <v>0</v>
      </c>
      <c r="Y29" s="9" t="n">
        <f aca="false">Y23*vat_rate/(1+vat_rate)*Y28</f>
        <v>0</v>
      </c>
      <c r="Z29" s="9" t="n">
        <f aca="false">Z23*vat_rate/(1+vat_rate)*Z28</f>
        <v>0</v>
      </c>
    </row>
    <row r="30" customFormat="false" ht="15" hidden="false" customHeight="false" outlineLevel="0" collapsed="false">
      <c r="A30" s="2" t="s">
        <v>286</v>
      </c>
      <c r="B30" s="11" t="n">
        <f aca="false">SUM(C30:Z30)</f>
        <v>1287739.28902479</v>
      </c>
      <c r="C30" s="9" t="n">
        <f aca="false">(C23-C29)*usn_rate</f>
        <v>7924.752</v>
      </c>
      <c r="D30" s="9" t="n">
        <f aca="false">(D23-D29)*usn_rate</f>
        <v>15574.90176</v>
      </c>
      <c r="E30" s="9" t="n">
        <f aca="false">(E23-E29)*usn_rate</f>
        <v>14700.6655488</v>
      </c>
      <c r="F30" s="9" t="n">
        <f aca="false">(F23-F29)*usn_rate</f>
        <v>21293.769682944</v>
      </c>
      <c r="G30" s="9" t="n">
        <f aca="false">(G23-G29)*usn_rate</f>
        <v>29967.4933209907</v>
      </c>
      <c r="H30" s="9" t="n">
        <f aca="false">(H23-H29)*usn_rate</f>
        <v>41220.6021224718</v>
      </c>
      <c r="I30" s="9" t="n">
        <f aca="false">(I23-I29)*usn_rate</f>
        <v>50211.8461877752</v>
      </c>
      <c r="J30" s="9" t="n">
        <f aca="false">(J23-J29)*usn_rate</f>
        <v>49259.4140084422</v>
      </c>
      <c r="K30" s="9" t="n">
        <f aca="false">(K23-K29)*usn_rate</f>
        <v>46604.8171730611</v>
      </c>
      <c r="L30" s="9" t="n">
        <f aca="false">(L23-L29)*usn_rate</f>
        <v>52994.6799903181</v>
      </c>
      <c r="M30" s="9" t="n">
        <f aca="false">(M23-M29)*usn_rate</f>
        <v>56620.1230564858</v>
      </c>
      <c r="N30" s="9" t="n">
        <f aca="false">(N23-N29)*usn_rate</f>
        <v>55938.3571958461</v>
      </c>
      <c r="O30" s="9" t="n">
        <f aca="false">(O23-O29)*usn_rate</f>
        <v>59749.4264249658</v>
      </c>
      <c r="P30" s="9" t="n">
        <f aca="false">(P23-P29)*usn_rate</f>
        <v>68861.0146634669</v>
      </c>
      <c r="Q30" s="9" t="n">
        <f aca="false">(Q23-Q29)*usn_rate</f>
        <v>55806.9907451961</v>
      </c>
      <c r="R30" s="9" t="n">
        <f aca="false">(R23-R29)*usn_rate</f>
        <v>60323.4759822381</v>
      </c>
      <c r="S30" s="9" t="n">
        <f aca="false">(S23-S29)*usn_rate</f>
        <v>66438.5723022555</v>
      </c>
      <c r="T30" s="9" t="n">
        <f aca="false">(T23-T29)*usn_rate</f>
        <v>74259.4851628431</v>
      </c>
      <c r="U30" s="9" t="n">
        <f aca="false">(U23-U29)*usn_rate</f>
        <v>79055.073166582</v>
      </c>
      <c r="V30" s="9" t="n">
        <f aca="false">(V23-V29)*usn_rate</f>
        <v>75709.7828551583</v>
      </c>
      <c r="W30" s="9" t="n">
        <f aca="false">(W23-W29)*usn_rate</f>
        <v>70456.3989583746</v>
      </c>
      <c r="X30" s="9" t="n">
        <f aca="false">(X23-X29)*usn_rate</f>
        <v>76894.1018187567</v>
      </c>
      <c r="Y30" s="9" t="n">
        <f aca="false">(Y23-Y29)*usn_rate</f>
        <v>80019.8552218478</v>
      </c>
      <c r="Z30" s="9" t="n">
        <f aca="false">(Z23-Z29)*usn_rate</f>
        <v>77853.6896759693</v>
      </c>
    </row>
    <row r="31" customFormat="false" ht="15" hidden="false" customHeight="false" outlineLevel="0" collapsed="false">
      <c r="A31" s="10" t="s">
        <v>389</v>
      </c>
      <c r="B31" s="11" t="n">
        <f aca="false">SUM(C31:Z31)</f>
        <v>995249.546486614</v>
      </c>
      <c r="C31" s="11" t="n">
        <f aca="false">C23-C29-C24-C26-C27-C30</f>
        <v>-153138.568</v>
      </c>
      <c r="D31" s="11" t="n">
        <f aca="false">D23-D29-D24-D26-D27-D30</f>
        <v>-123005.69984</v>
      </c>
      <c r="E31" s="11" t="n">
        <f aca="false">E23-E29-E24-E26-E27-E30</f>
        <v>-129656.5038592</v>
      </c>
      <c r="F31" s="11" t="n">
        <f aca="false">F23-F29-F24-F26-F27-F30</f>
        <v>-103518.139396096</v>
      </c>
      <c r="G31" s="11" t="n">
        <f aca="false">G23-G29-G24-G26-G27-G30</f>
        <v>-68072.9466685645</v>
      </c>
      <c r="H31" s="11" t="n">
        <f aca="false">H23-H29-H24-H26-H27-H30</f>
        <v>-21179.8050683368</v>
      </c>
      <c r="I31" s="11" t="n">
        <f aca="false">I23-I29-I24-I26-I27-I30</f>
        <v>19732.4266598637</v>
      </c>
      <c r="J31" s="11" t="n">
        <f aca="false">J23-J29-J24-J26-J27-J30</f>
        <v>17197.46951188</v>
      </c>
      <c r="K31" s="11" t="n">
        <f aca="false">K23-K29-K24-K26-K27-K30</f>
        <v>7052.82009096645</v>
      </c>
      <c r="L31" s="11" t="n">
        <f aca="false">L23-L29-L24-L26-L27-L30</f>
        <v>36102.2132305035</v>
      </c>
      <c r="M31" s="11" t="n">
        <f aca="false">M23-M29-M24-M26-M27-M30</f>
        <v>52962.9828593661</v>
      </c>
      <c r="N31" s="11" t="n">
        <f aca="false">N23-N29-N24-N26-N27-N30</f>
        <v>50937.9582293761</v>
      </c>
      <c r="O31" s="11" t="n">
        <f aca="false">O23-O29-O24-O26-O27-O30</f>
        <v>68285.0128880581</v>
      </c>
      <c r="P31" s="11" t="n">
        <f aca="false">P23-P29-P24-P26-P27-P30</f>
        <v>108663.96805654</v>
      </c>
      <c r="Q31" s="11" t="n">
        <f aca="false">Q23-Q29-Q24-Q26-Q27-Q30</f>
        <v>52463.288856159</v>
      </c>
      <c r="R31" s="11" t="n">
        <f aca="false">R23-R29-R24-R26-R27-R30</f>
        <v>72664.4080094681</v>
      </c>
      <c r="S31" s="11" t="n">
        <f aca="false">S23-S29-S24-S26-S27-S30</f>
        <v>99751.8524695433</v>
      </c>
      <c r="T31" s="11" t="n">
        <f aca="false">T23-T29-T24-T26-T27-T30</f>
        <v>134200.896618381</v>
      </c>
      <c r="U31" s="11" t="n">
        <f aca="false">U23-U29-U24-U26-U27-U30</f>
        <v>155424.581711565</v>
      </c>
      <c r="V31" s="11" t="n">
        <f aca="false">V23-V29-V24-V26-V27-V30</f>
        <v>141161.703156549</v>
      </c>
      <c r="W31" s="11" t="n">
        <f aca="false">W23-W29-W24-W26-W27-W30</f>
        <v>118549.278681867</v>
      </c>
      <c r="X31" s="11" t="n">
        <f aca="false">X23-X29-X24-X26-X27-X30</f>
        <v>146789.351191784</v>
      </c>
      <c r="Y31" s="11" t="n">
        <f aca="false">Y23-Y29-Y24-Y26-Y27-Y30</f>
        <v>160578.63303927</v>
      </c>
      <c r="Z31" s="11" t="n">
        <f aca="false">Z23-Z29-Z24-Z26-Z27-Z30</f>
        <v>151302.364057672</v>
      </c>
    </row>
    <row r="32" customFormat="false" ht="15" hidden="false" customHeight="false" outlineLevel="0" collapsed="false">
      <c r="A32" s="2" t="s">
        <v>390</v>
      </c>
      <c r="B32" s="29" t="n">
        <f aca="false">IF(B23=0,0,B31/B23)</f>
        <v>0.046371942906564</v>
      </c>
      <c r="C32" s="24" t="n">
        <f aca="false">IF(C23=0,0,C31/C23)</f>
        <v>-1.15944499966687</v>
      </c>
      <c r="D32" s="24" t="n">
        <f aca="false">IF(D23=0,0,D31/D23)</f>
        <v>-0.473861222634126</v>
      </c>
      <c r="E32" s="24" t="n">
        <f aca="false">IF(E23=0,0,E31/E23)</f>
        <v>-0.529186260698722</v>
      </c>
      <c r="F32" s="24" t="n">
        <f aca="false">IF(F23=0,0,F31/F23)</f>
        <v>-0.291685711653994</v>
      </c>
      <c r="G32" s="24" t="n">
        <f aca="false">IF(G23=0,0,G31/G23)</f>
        <v>-0.136293575053639</v>
      </c>
      <c r="H32" s="24" t="n">
        <f aca="false">IF(H23=0,0,H31/H23)</f>
        <v>-0.0308289602447953</v>
      </c>
      <c r="I32" s="24" t="n">
        <f aca="false">IF(I23=0,0,I31/I23)</f>
        <v>0.0235790095262435</v>
      </c>
      <c r="J32" s="24" t="n">
        <f aca="false">IF(J23=0,0,J31/J23)</f>
        <v>0.0209472278849269</v>
      </c>
      <c r="K32" s="24" t="n">
        <f aca="false">IF(K23=0,0,K31/K23)</f>
        <v>0.00907994561778027</v>
      </c>
      <c r="L32" s="24" t="n">
        <f aca="false">IF(L23=0,0,L31/L23)</f>
        <v>0.0408745329573828</v>
      </c>
      <c r="M32" s="24" t="n">
        <f aca="false">IF(M23=0,0,M31/M23)</f>
        <v>0.0561245507783818</v>
      </c>
      <c r="N32" s="24" t="n">
        <f aca="false">IF(N23=0,0,N31/N23)</f>
        <v>0.0546365257574908</v>
      </c>
      <c r="O32" s="24" t="n">
        <f aca="false">IF(O23=0,0,O31/O23)</f>
        <v>0.0685713824956745</v>
      </c>
      <c r="P32" s="24" t="n">
        <f aca="false">IF(P23=0,0,P31/P23)</f>
        <v>0.0946811213174208</v>
      </c>
      <c r="Q32" s="24" t="n">
        <f aca="false">IF(Q23=0,0,Q31/Q23)</f>
        <v>0.0564050720050786</v>
      </c>
      <c r="R32" s="24" t="n">
        <f aca="false">IF(R23=0,0,R31/R23)</f>
        <v>0.0722747555504233</v>
      </c>
      <c r="S32" s="24" t="n">
        <f aca="false">IF(S23=0,0,S31/S23)</f>
        <v>0.090084885041538</v>
      </c>
      <c r="T32" s="24" t="n">
        <f aca="false">IF(T23=0,0,T31/T23)</f>
        <v>0.108431317284863</v>
      </c>
      <c r="U32" s="24" t="n">
        <f aca="false">IF(U23=0,0,U31/U23)</f>
        <v>0.117961751588587</v>
      </c>
      <c r="V32" s="24" t="n">
        <f aca="false">IF(V23=0,0,V31/V23)</f>
        <v>0.11187064432078</v>
      </c>
      <c r="W32" s="24" t="n">
        <f aca="false">IF(W23=0,0,W31/W23)</f>
        <v>0.100955439478454</v>
      </c>
      <c r="X32" s="24" t="n">
        <f aca="false">IF(X23=0,0,X31/X23)</f>
        <v>0.114538838001729</v>
      </c>
      <c r="Y32" s="24" t="n">
        <f aca="false">IF(Y23=0,0,Y31/Y23)</f>
        <v>0.120404091655062</v>
      </c>
      <c r="Z32" s="24" t="n">
        <f aca="false">IF(Z23=0,0,Z31/Z23)</f>
        <v>0.116605158743843</v>
      </c>
    </row>
    <row r="34" customFormat="false" ht="15" hidden="false" customHeight="false" outlineLevel="0" collapsed="false">
      <c r="A34" s="13" t="s">
        <v>391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customFormat="false" ht="15" hidden="false" customHeight="false" outlineLevel="0" collapsed="false">
      <c r="A35" s="2" t="s">
        <v>392</v>
      </c>
      <c r="B35" s="11" t="n">
        <f aca="false">SUM(C35:Z35)</f>
        <v>335000</v>
      </c>
      <c r="C35" s="9" t="n">
        <f aca="false">IF(C3=sc_capex2_month_P,capex2_total,0)</f>
        <v>0</v>
      </c>
      <c r="D35" s="9" t="n">
        <f aca="false">IF(D3=sc_capex2_month_P,capex2_total,0)</f>
        <v>0</v>
      </c>
      <c r="E35" s="9" t="n">
        <f aca="false">IF(E3=sc_capex2_month_P,capex2_total,0)</f>
        <v>0</v>
      </c>
      <c r="F35" s="9" t="n">
        <f aca="false">IF(F3=sc_capex2_month_P,capex2_total,0)</f>
        <v>0</v>
      </c>
      <c r="G35" s="9" t="n">
        <f aca="false">IF(G3=sc_capex2_month_P,capex2_total,0)</f>
        <v>0</v>
      </c>
      <c r="H35" s="9" t="n">
        <f aca="false">IF(H3=sc_capex2_month_P,capex2_total,0)</f>
        <v>0</v>
      </c>
      <c r="I35" s="9" t="n">
        <f aca="false">IF(I3=sc_capex2_month_P,capex2_total,0)</f>
        <v>0</v>
      </c>
      <c r="J35" s="9" t="n">
        <f aca="false">IF(J3=sc_capex2_month_P,capex2_total,0)</f>
        <v>0</v>
      </c>
      <c r="K35" s="9" t="n">
        <f aca="false">IF(K3=sc_capex2_month_P,capex2_total,0)</f>
        <v>0</v>
      </c>
      <c r="L35" s="9" t="n">
        <f aca="false">IF(L3=sc_capex2_month_P,capex2_total,0)</f>
        <v>335000</v>
      </c>
      <c r="M35" s="9" t="n">
        <f aca="false">IF(M3=sc_capex2_month_P,capex2_total,0)</f>
        <v>0</v>
      </c>
      <c r="N35" s="9" t="n">
        <f aca="false">IF(N3=sc_capex2_month_P,capex2_total,0)</f>
        <v>0</v>
      </c>
      <c r="O35" s="9" t="n">
        <f aca="false">IF(O3=sc_capex2_month_P,capex2_total,0)</f>
        <v>0</v>
      </c>
      <c r="P35" s="9" t="n">
        <f aca="false">IF(P3=sc_capex2_month_P,capex2_total,0)</f>
        <v>0</v>
      </c>
      <c r="Q35" s="9" t="n">
        <f aca="false">IF(Q3=sc_capex2_month_P,capex2_total,0)</f>
        <v>0</v>
      </c>
      <c r="R35" s="9" t="n">
        <f aca="false">IF(R3=sc_capex2_month_P,capex2_total,0)</f>
        <v>0</v>
      </c>
      <c r="S35" s="9" t="n">
        <f aca="false">IF(S3=sc_capex2_month_P,capex2_total,0)</f>
        <v>0</v>
      </c>
      <c r="T35" s="9" t="n">
        <f aca="false">IF(T3=sc_capex2_month_P,capex2_total,0)</f>
        <v>0</v>
      </c>
      <c r="U35" s="9" t="n">
        <f aca="false">IF(U3=sc_capex2_month_P,capex2_total,0)</f>
        <v>0</v>
      </c>
      <c r="V35" s="9" t="n">
        <f aca="false">IF(V3=sc_capex2_month_P,capex2_total,0)</f>
        <v>0</v>
      </c>
      <c r="W35" s="9" t="n">
        <f aca="false">IF(W3=sc_capex2_month_P,capex2_total,0)</f>
        <v>0</v>
      </c>
      <c r="X35" s="9" t="n">
        <f aca="false">IF(X3=sc_capex2_month_P,capex2_total,0)</f>
        <v>0</v>
      </c>
      <c r="Y35" s="9" t="n">
        <f aca="false">IF(Y3=sc_capex2_month_P,capex2_total,0)</f>
        <v>0</v>
      </c>
      <c r="Z35" s="9" t="n">
        <f aca="false">IF(Z3=sc_capex2_month_P,capex2_total,0)</f>
        <v>0</v>
      </c>
    </row>
    <row r="36" customFormat="false" ht="15" hidden="false" customHeight="false" outlineLevel="0" collapsed="false">
      <c r="A36" s="10" t="s">
        <v>393</v>
      </c>
      <c r="B36" s="11" t="n">
        <f aca="false">SUM(C36:Z36)</f>
        <v>660249.546486614</v>
      </c>
      <c r="C36" s="11" t="n">
        <f aca="false">C31-C35</f>
        <v>-153138.568</v>
      </c>
      <c r="D36" s="11" t="n">
        <f aca="false">D31-D35</f>
        <v>-123005.69984</v>
      </c>
      <c r="E36" s="11" t="n">
        <f aca="false">E31-E35</f>
        <v>-129656.5038592</v>
      </c>
      <c r="F36" s="11" t="n">
        <f aca="false">F31-F35</f>
        <v>-103518.139396096</v>
      </c>
      <c r="G36" s="11" t="n">
        <f aca="false">G31-G35</f>
        <v>-68072.9466685645</v>
      </c>
      <c r="H36" s="11" t="n">
        <f aca="false">H31-H35</f>
        <v>-21179.8050683368</v>
      </c>
      <c r="I36" s="11" t="n">
        <f aca="false">I31-I35</f>
        <v>19732.4266598637</v>
      </c>
      <c r="J36" s="11" t="n">
        <f aca="false">J31-J35</f>
        <v>17197.46951188</v>
      </c>
      <c r="K36" s="11" t="n">
        <f aca="false">K31-K35</f>
        <v>7052.82009096645</v>
      </c>
      <c r="L36" s="11" t="n">
        <f aca="false">L31-L35</f>
        <v>-298897.786769497</v>
      </c>
      <c r="M36" s="11" t="n">
        <f aca="false">M31-M35</f>
        <v>52962.9828593661</v>
      </c>
      <c r="N36" s="11" t="n">
        <f aca="false">N31-N35</f>
        <v>50937.9582293761</v>
      </c>
      <c r="O36" s="11" t="n">
        <f aca="false">O31-O35</f>
        <v>68285.0128880581</v>
      </c>
      <c r="P36" s="11" t="n">
        <f aca="false">P31-P35</f>
        <v>108663.96805654</v>
      </c>
      <c r="Q36" s="11" t="n">
        <f aca="false">Q31-Q35</f>
        <v>52463.288856159</v>
      </c>
      <c r="R36" s="11" t="n">
        <f aca="false">R31-R35</f>
        <v>72664.4080094681</v>
      </c>
      <c r="S36" s="11" t="n">
        <f aca="false">S31-S35</f>
        <v>99751.8524695433</v>
      </c>
      <c r="T36" s="11" t="n">
        <f aca="false">T31-T35</f>
        <v>134200.896618381</v>
      </c>
      <c r="U36" s="11" t="n">
        <f aca="false">U31-U35</f>
        <v>155424.581711565</v>
      </c>
      <c r="V36" s="11" t="n">
        <f aca="false">V31-V35</f>
        <v>141161.703156549</v>
      </c>
      <c r="W36" s="11" t="n">
        <f aca="false">W31-W35</f>
        <v>118549.278681867</v>
      </c>
      <c r="X36" s="11" t="n">
        <f aca="false">X31-X35</f>
        <v>146789.351191784</v>
      </c>
      <c r="Y36" s="11" t="n">
        <f aca="false">Y31-Y35</f>
        <v>160578.63303927</v>
      </c>
      <c r="Z36" s="11" t="n">
        <f aca="false">Z31-Z35</f>
        <v>151302.364057672</v>
      </c>
    </row>
    <row r="37" customFormat="false" ht="15" hidden="false" customHeight="false" outlineLevel="0" collapsed="false">
      <c r="A37" s="2" t="s">
        <v>394</v>
      </c>
      <c r="C37" s="9" t="n">
        <f aca="false">C36</f>
        <v>-153138.568</v>
      </c>
      <c r="D37" s="9" t="n">
        <f aca="false">C37+D36</f>
        <v>-276144.26784</v>
      </c>
      <c r="E37" s="9" t="n">
        <f aca="false">D37+E36</f>
        <v>-405800.7716992</v>
      </c>
      <c r="F37" s="9" t="n">
        <f aca="false">E37+F36</f>
        <v>-509318.911095296</v>
      </c>
      <c r="G37" s="9" t="n">
        <f aca="false">F37+G36</f>
        <v>-577391.857763861</v>
      </c>
      <c r="H37" s="9" t="n">
        <f aca="false">G37+H36</f>
        <v>-598571.662832197</v>
      </c>
      <c r="I37" s="9" t="n">
        <f aca="false">H37+I36</f>
        <v>-578839.236172334</v>
      </c>
      <c r="J37" s="9" t="n">
        <f aca="false">I37+J36</f>
        <v>-561641.766660454</v>
      </c>
      <c r="K37" s="9" t="n">
        <f aca="false">J37+K36</f>
        <v>-554588.946569487</v>
      </c>
      <c r="L37" s="9" t="n">
        <f aca="false">K37+L36</f>
        <v>-853486.733338984</v>
      </c>
      <c r="M37" s="9" t="n">
        <f aca="false">L37+M36</f>
        <v>-800523.750479618</v>
      </c>
      <c r="N37" s="9" t="n">
        <f aca="false">M37+N36</f>
        <v>-749585.792250242</v>
      </c>
      <c r="O37" s="9" t="n">
        <f aca="false">N37+O36</f>
        <v>-681300.779362184</v>
      </c>
      <c r="P37" s="9" t="n">
        <f aca="false">O37+P36</f>
        <v>-572636.811305644</v>
      </c>
      <c r="Q37" s="9" t="n">
        <f aca="false">P37+Q36</f>
        <v>-520173.522449485</v>
      </c>
      <c r="R37" s="9" t="n">
        <f aca="false">Q37+R36</f>
        <v>-447509.114440017</v>
      </c>
      <c r="S37" s="9" t="n">
        <f aca="false">R37+S36</f>
        <v>-347757.261970473</v>
      </c>
      <c r="T37" s="9" t="n">
        <f aca="false">S37+T36</f>
        <v>-213556.365352092</v>
      </c>
      <c r="U37" s="9" t="n">
        <f aca="false">T37+U36</f>
        <v>-58131.7836405277</v>
      </c>
      <c r="V37" s="9" t="n">
        <f aca="false">U37+V36</f>
        <v>83029.9195160208</v>
      </c>
      <c r="W37" s="9" t="n">
        <f aca="false">V37+W36</f>
        <v>201579.198197888</v>
      </c>
      <c r="X37" s="9" t="n">
        <f aca="false">W37+X36</f>
        <v>348368.549389672</v>
      </c>
      <c r="Y37" s="9" t="n">
        <f aca="false">X37+Y36</f>
        <v>508947.182428942</v>
      </c>
      <c r="Z37" s="9" t="n">
        <f aca="false">Y37+Z36</f>
        <v>660249.546486614</v>
      </c>
    </row>
    <row r="38" customFormat="false" ht="15" hidden="false" customHeight="false" outlineLevel="0" collapsed="false">
      <c r="A38" s="10" t="s">
        <v>395</v>
      </c>
      <c r="C38" s="11" t="n">
        <f aca="false">-(capex_base+prelaunch_total)+C36</f>
        <v>-727138.568</v>
      </c>
      <c r="D38" s="11" t="n">
        <f aca="false">C38+D36</f>
        <v>-850144.26784</v>
      </c>
      <c r="E38" s="11" t="n">
        <f aca="false">D38+E36</f>
        <v>-979800.7716992</v>
      </c>
      <c r="F38" s="11" t="n">
        <f aca="false">E38+F36</f>
        <v>-1083318.9110953</v>
      </c>
      <c r="G38" s="11" t="n">
        <f aca="false">F38+G36</f>
        <v>-1151391.85776386</v>
      </c>
      <c r="H38" s="11" t="n">
        <f aca="false">G38+H36</f>
        <v>-1172571.6628322</v>
      </c>
      <c r="I38" s="11" t="n">
        <f aca="false">H38+I36</f>
        <v>-1152839.23617233</v>
      </c>
      <c r="J38" s="11" t="n">
        <f aca="false">I38+J36</f>
        <v>-1135641.76666045</v>
      </c>
      <c r="K38" s="11" t="n">
        <f aca="false">J38+K36</f>
        <v>-1128588.94656949</v>
      </c>
      <c r="L38" s="11" t="n">
        <f aca="false">K38+L36</f>
        <v>-1427486.73333898</v>
      </c>
      <c r="M38" s="11" t="n">
        <f aca="false">L38+M36</f>
        <v>-1374523.75047962</v>
      </c>
      <c r="N38" s="11" t="n">
        <f aca="false">M38+N36</f>
        <v>-1323585.79225024</v>
      </c>
      <c r="O38" s="11" t="n">
        <f aca="false">N38+O36</f>
        <v>-1255300.77936218</v>
      </c>
      <c r="P38" s="11" t="n">
        <f aca="false">O38+P36</f>
        <v>-1146636.81130564</v>
      </c>
      <c r="Q38" s="11" t="n">
        <f aca="false">P38+Q36</f>
        <v>-1094173.52244948</v>
      </c>
      <c r="R38" s="11" t="n">
        <f aca="false">Q38+R36</f>
        <v>-1021509.11444002</v>
      </c>
      <c r="S38" s="11" t="n">
        <f aca="false">R38+S36</f>
        <v>-921757.261970473</v>
      </c>
      <c r="T38" s="11" t="n">
        <f aca="false">S38+T36</f>
        <v>-787556.365352092</v>
      </c>
      <c r="U38" s="11" t="n">
        <f aca="false">T38+U36</f>
        <v>-632131.783640528</v>
      </c>
      <c r="V38" s="11" t="n">
        <f aca="false">U38+V36</f>
        <v>-490970.080483979</v>
      </c>
      <c r="W38" s="11" t="n">
        <f aca="false">V38+W36</f>
        <v>-372420.801802112</v>
      </c>
      <c r="X38" s="11" t="n">
        <f aca="false">W38+X36</f>
        <v>-225631.450610328</v>
      </c>
      <c r="Y38" s="11" t="n">
        <f aca="false">X38+Y36</f>
        <v>-65052.8175710581</v>
      </c>
      <c r="Z38" s="11" t="n">
        <f aca="false">Y38+Z36</f>
        <v>86249.5464866135</v>
      </c>
    </row>
    <row r="39" customFormat="false" ht="15" hidden="false" customHeight="false" outlineLevel="0" collapsed="false">
      <c r="A39" s="2" t="s">
        <v>396</v>
      </c>
      <c r="C39" s="26" t="str">
        <f aca="false">IF(COUNTIF(C31:$Z$31,"&lt;0")=0,C3,"")</f>
        <v/>
      </c>
      <c r="D39" s="26" t="str">
        <f aca="false">IF(COUNTIF(D31:$Z$31,"&lt;0")=0,D3,"")</f>
        <v/>
      </c>
      <c r="E39" s="26" t="str">
        <f aca="false">IF(COUNTIF(E31:$Z$31,"&lt;0")=0,E3,"")</f>
        <v/>
      </c>
      <c r="F39" s="26" t="str">
        <f aca="false">IF(COUNTIF(F31:$Z$31,"&lt;0")=0,F3,"")</f>
        <v/>
      </c>
      <c r="G39" s="26" t="str">
        <f aca="false">IF(COUNTIF(G31:$Z$31,"&lt;0")=0,G3,"")</f>
        <v/>
      </c>
      <c r="H39" s="26" t="str">
        <f aca="false">IF(COUNTIF(H31:$Z$31,"&lt;0")=0,H3,"")</f>
        <v/>
      </c>
      <c r="I39" s="26" t="n">
        <f aca="false">IF(COUNTIF(I31:$Z$31,"&lt;0")=0,I3,"")</f>
        <v>7</v>
      </c>
      <c r="J39" s="26" t="n">
        <f aca="false">IF(COUNTIF(J31:$Z$31,"&lt;0")=0,J3,"")</f>
        <v>8</v>
      </c>
      <c r="K39" s="26" t="n">
        <f aca="false">IF(COUNTIF(K31:$Z$31,"&lt;0")=0,K3,"")</f>
        <v>9</v>
      </c>
      <c r="L39" s="26" t="n">
        <f aca="false">IF(COUNTIF(L31:$Z$31,"&lt;0")=0,L3,"")</f>
        <v>10</v>
      </c>
      <c r="M39" s="26" t="n">
        <f aca="false">IF(COUNTIF(M31:$Z$31,"&lt;0")=0,M3,"")</f>
        <v>11</v>
      </c>
      <c r="N39" s="26" t="n">
        <f aca="false">IF(COUNTIF(N31:$Z$31,"&lt;0")=0,N3,"")</f>
        <v>12</v>
      </c>
      <c r="O39" s="26" t="n">
        <f aca="false">IF(COUNTIF(O31:$Z$31,"&lt;0")=0,O3,"")</f>
        <v>13</v>
      </c>
      <c r="P39" s="26" t="n">
        <f aca="false">IF(COUNTIF(P31:$Z$31,"&lt;0")=0,P3,"")</f>
        <v>14</v>
      </c>
      <c r="Q39" s="26" t="n">
        <f aca="false">IF(COUNTIF(Q31:$Z$31,"&lt;0")=0,Q3,"")</f>
        <v>15</v>
      </c>
      <c r="R39" s="26" t="n">
        <f aca="false">IF(COUNTIF(R31:$Z$31,"&lt;0")=0,R3,"")</f>
        <v>16</v>
      </c>
      <c r="S39" s="26" t="n">
        <f aca="false">IF(COUNTIF(S31:$Z$31,"&lt;0")=0,S3,"")</f>
        <v>17</v>
      </c>
      <c r="T39" s="26" t="n">
        <f aca="false">IF(COUNTIF(T31:$Z$31,"&lt;0")=0,T3,"")</f>
        <v>18</v>
      </c>
      <c r="U39" s="26" t="n">
        <f aca="false">IF(COUNTIF(U31:$Z$31,"&lt;0")=0,U3,"")</f>
        <v>19</v>
      </c>
      <c r="V39" s="26" t="n">
        <f aca="false">IF(COUNTIF(V31:$Z$31,"&lt;0")=0,V3,"")</f>
        <v>20</v>
      </c>
      <c r="W39" s="26" t="n">
        <f aca="false">IF(COUNTIF(W31:$Z$31,"&lt;0")=0,W3,"")</f>
        <v>21</v>
      </c>
      <c r="X39" s="26" t="n">
        <f aca="false">IF(COUNTIF(X31:$Z$31,"&lt;0")=0,X3,"")</f>
        <v>22</v>
      </c>
      <c r="Y39" s="26" t="n">
        <f aca="false">IF(COUNTIF(Y31:$Z$31,"&lt;0")=0,Y3,"")</f>
        <v>23</v>
      </c>
      <c r="Z39" s="26" t="n">
        <f aca="false">IF(COUNTIF(Z31:$Z$31,"&lt;0")=0,Z3,"")</f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5"/>
    <col collapsed="false" customWidth="true" hidden="false" outlineLevel="0" max="26" min="3" style="0" width="12"/>
  </cols>
  <sheetData>
    <row r="1" customFormat="false" ht="17.35" hidden="false" customHeight="false" outlineLevel="0" collapsed="false">
      <c r="A1" s="1" t="s">
        <v>397</v>
      </c>
    </row>
    <row r="2" customFormat="false" ht="30" hidden="false" customHeight="true" outlineLevel="0" collapsed="false">
      <c r="A2" s="3" t="s">
        <v>20</v>
      </c>
      <c r="B2" s="3" t="s">
        <v>340</v>
      </c>
      <c r="C2" s="3" t="s">
        <v>341</v>
      </c>
      <c r="D2" s="3" t="s">
        <v>342</v>
      </c>
      <c r="E2" s="3" t="s">
        <v>343</v>
      </c>
      <c r="F2" s="3" t="s">
        <v>344</v>
      </c>
      <c r="G2" s="3" t="s">
        <v>345</v>
      </c>
      <c r="H2" s="3" t="s">
        <v>346</v>
      </c>
      <c r="I2" s="3" t="s">
        <v>347</v>
      </c>
      <c r="J2" s="3" t="s">
        <v>348</v>
      </c>
      <c r="K2" s="3" t="s">
        <v>349</v>
      </c>
      <c r="L2" s="3" t="s">
        <v>350</v>
      </c>
      <c r="M2" s="3" t="s">
        <v>351</v>
      </c>
      <c r="N2" s="3" t="s">
        <v>352</v>
      </c>
      <c r="O2" s="3" t="s">
        <v>353</v>
      </c>
      <c r="P2" s="3" t="s">
        <v>354</v>
      </c>
      <c r="Q2" s="3" t="s">
        <v>355</v>
      </c>
      <c r="R2" s="3" t="s">
        <v>356</v>
      </c>
      <c r="S2" s="3" t="s">
        <v>357</v>
      </c>
      <c r="T2" s="3" t="s">
        <v>358</v>
      </c>
      <c r="U2" s="3" t="s">
        <v>359</v>
      </c>
      <c r="V2" s="3" t="s">
        <v>360</v>
      </c>
      <c r="W2" s="3" t="s">
        <v>361</v>
      </c>
      <c r="X2" s="3" t="s">
        <v>362</v>
      </c>
      <c r="Y2" s="3" t="s">
        <v>363</v>
      </c>
      <c r="Z2" s="3" t="s">
        <v>364</v>
      </c>
    </row>
    <row r="3" customFormat="false" ht="15" hidden="false" customHeight="false" outlineLevel="0" collapsed="false">
      <c r="A3" s="10" t="s">
        <v>365</v>
      </c>
      <c r="C3" s="25" t="n">
        <v>1</v>
      </c>
      <c r="D3" s="25" t="n">
        <v>2</v>
      </c>
      <c r="E3" s="25" t="n">
        <v>3</v>
      </c>
      <c r="F3" s="25" t="n">
        <v>4</v>
      </c>
      <c r="G3" s="25" t="n">
        <v>5</v>
      </c>
      <c r="H3" s="25" t="n">
        <v>6</v>
      </c>
      <c r="I3" s="25" t="n">
        <v>7</v>
      </c>
      <c r="J3" s="25" t="n">
        <v>8</v>
      </c>
      <c r="K3" s="25" t="n">
        <v>9</v>
      </c>
      <c r="L3" s="25" t="n">
        <v>10</v>
      </c>
      <c r="M3" s="25" t="n">
        <v>11</v>
      </c>
      <c r="N3" s="25" t="n">
        <v>12</v>
      </c>
      <c r="O3" s="25" t="n">
        <v>13</v>
      </c>
      <c r="P3" s="25" t="n">
        <v>14</v>
      </c>
      <c r="Q3" s="25" t="n">
        <v>15</v>
      </c>
      <c r="R3" s="25" t="n">
        <v>16</v>
      </c>
      <c r="S3" s="25" t="n">
        <v>17</v>
      </c>
      <c r="T3" s="25" t="n">
        <v>18</v>
      </c>
      <c r="U3" s="25" t="n">
        <v>19</v>
      </c>
      <c r="V3" s="25" t="n">
        <v>20</v>
      </c>
      <c r="W3" s="25" t="n">
        <v>21</v>
      </c>
      <c r="X3" s="25" t="n">
        <v>22</v>
      </c>
      <c r="Y3" s="25" t="n">
        <v>23</v>
      </c>
      <c r="Z3" s="25" t="n">
        <v>24</v>
      </c>
    </row>
    <row r="4" customFormat="false" ht="15" hidden="false" customHeight="false" outlineLevel="0" collapsed="false">
      <c r="A4" s="2" t="s">
        <v>366</v>
      </c>
      <c r="C4" s="26" t="n">
        <f aca="false">start_year+INT((start_month-1+C3-1)/12)</f>
        <v>2026</v>
      </c>
      <c r="D4" s="26" t="n">
        <f aca="false">start_year+INT((start_month-1+D3-1)/12)</f>
        <v>2026</v>
      </c>
      <c r="E4" s="26" t="n">
        <f aca="false">start_year+INT((start_month-1+E3-1)/12)</f>
        <v>2027</v>
      </c>
      <c r="F4" s="26" t="n">
        <f aca="false">start_year+INT((start_month-1+F3-1)/12)</f>
        <v>2027</v>
      </c>
      <c r="G4" s="26" t="n">
        <f aca="false">start_year+INT((start_month-1+G3-1)/12)</f>
        <v>2027</v>
      </c>
      <c r="H4" s="26" t="n">
        <f aca="false">start_year+INT((start_month-1+H3-1)/12)</f>
        <v>2027</v>
      </c>
      <c r="I4" s="26" t="n">
        <f aca="false">start_year+INT((start_month-1+I3-1)/12)</f>
        <v>2027</v>
      </c>
      <c r="J4" s="26" t="n">
        <f aca="false">start_year+INT((start_month-1+J3-1)/12)</f>
        <v>2027</v>
      </c>
      <c r="K4" s="26" t="n">
        <f aca="false">start_year+INT((start_month-1+K3-1)/12)</f>
        <v>2027</v>
      </c>
      <c r="L4" s="26" t="n">
        <f aca="false">start_year+INT((start_month-1+L3-1)/12)</f>
        <v>2027</v>
      </c>
      <c r="M4" s="26" t="n">
        <f aca="false">start_year+INT((start_month-1+M3-1)/12)</f>
        <v>2027</v>
      </c>
      <c r="N4" s="26" t="n">
        <f aca="false">start_year+INT((start_month-1+N3-1)/12)</f>
        <v>2027</v>
      </c>
      <c r="O4" s="26" t="n">
        <f aca="false">start_year+INT((start_month-1+O3-1)/12)</f>
        <v>2027</v>
      </c>
      <c r="P4" s="26" t="n">
        <f aca="false">start_year+INT((start_month-1+P3-1)/12)</f>
        <v>2027</v>
      </c>
      <c r="Q4" s="26" t="n">
        <f aca="false">start_year+INT((start_month-1+Q3-1)/12)</f>
        <v>2028</v>
      </c>
      <c r="R4" s="26" t="n">
        <f aca="false">start_year+INT((start_month-1+R3-1)/12)</f>
        <v>2028</v>
      </c>
      <c r="S4" s="26" t="n">
        <f aca="false">start_year+INT((start_month-1+S3-1)/12)</f>
        <v>2028</v>
      </c>
      <c r="T4" s="26" t="n">
        <f aca="false">start_year+INT((start_month-1+T3-1)/12)</f>
        <v>2028</v>
      </c>
      <c r="U4" s="26" t="n">
        <f aca="false">start_year+INT((start_month-1+U3-1)/12)</f>
        <v>2028</v>
      </c>
      <c r="V4" s="26" t="n">
        <f aca="false">start_year+INT((start_month-1+V3-1)/12)</f>
        <v>2028</v>
      </c>
      <c r="W4" s="26" t="n">
        <f aca="false">start_year+INT((start_month-1+W3-1)/12)</f>
        <v>2028</v>
      </c>
      <c r="X4" s="26" t="n">
        <f aca="false">start_year+INT((start_month-1+X3-1)/12)</f>
        <v>2028</v>
      </c>
      <c r="Y4" s="26" t="n">
        <f aca="false">start_year+INT((start_month-1+Y3-1)/12)</f>
        <v>2028</v>
      </c>
      <c r="Z4" s="26" t="n">
        <f aca="false">start_year+INT((start_month-1+Z3-1)/12)</f>
        <v>2028</v>
      </c>
    </row>
    <row r="5" customFormat="false" ht="15" hidden="false" customHeight="false" outlineLevel="0" collapsed="false">
      <c r="A5" s="2" t="s">
        <v>367</v>
      </c>
      <c r="C5" s="26" t="n">
        <f aca="false">MOD(start_month-1+C3-1,12)+1</f>
        <v>11</v>
      </c>
      <c r="D5" s="26" t="n">
        <f aca="false">MOD(start_month-1+D3-1,12)+1</f>
        <v>12</v>
      </c>
      <c r="E5" s="26" t="n">
        <f aca="false">MOD(start_month-1+E3-1,12)+1</f>
        <v>1</v>
      </c>
      <c r="F5" s="26" t="n">
        <f aca="false">MOD(start_month-1+F3-1,12)+1</f>
        <v>2</v>
      </c>
      <c r="G5" s="26" t="n">
        <f aca="false">MOD(start_month-1+G3-1,12)+1</f>
        <v>3</v>
      </c>
      <c r="H5" s="26" t="n">
        <f aca="false">MOD(start_month-1+H3-1,12)+1</f>
        <v>4</v>
      </c>
      <c r="I5" s="26" t="n">
        <f aca="false">MOD(start_month-1+I3-1,12)+1</f>
        <v>5</v>
      </c>
      <c r="J5" s="26" t="n">
        <f aca="false">MOD(start_month-1+J3-1,12)+1</f>
        <v>6</v>
      </c>
      <c r="K5" s="26" t="n">
        <f aca="false">MOD(start_month-1+K3-1,12)+1</f>
        <v>7</v>
      </c>
      <c r="L5" s="26" t="n">
        <f aca="false">MOD(start_month-1+L3-1,12)+1</f>
        <v>8</v>
      </c>
      <c r="M5" s="26" t="n">
        <f aca="false">MOD(start_month-1+M3-1,12)+1</f>
        <v>9</v>
      </c>
      <c r="N5" s="26" t="n">
        <f aca="false">MOD(start_month-1+N3-1,12)+1</f>
        <v>10</v>
      </c>
      <c r="O5" s="26" t="n">
        <f aca="false">MOD(start_month-1+O3-1,12)+1</f>
        <v>11</v>
      </c>
      <c r="P5" s="26" t="n">
        <f aca="false">MOD(start_month-1+P3-1,12)+1</f>
        <v>12</v>
      </c>
      <c r="Q5" s="26" t="n">
        <f aca="false">MOD(start_month-1+Q3-1,12)+1</f>
        <v>1</v>
      </c>
      <c r="R5" s="26" t="n">
        <f aca="false">MOD(start_month-1+R3-1,12)+1</f>
        <v>2</v>
      </c>
      <c r="S5" s="26" t="n">
        <f aca="false">MOD(start_month-1+S3-1,12)+1</f>
        <v>3</v>
      </c>
      <c r="T5" s="26" t="n">
        <f aca="false">MOD(start_month-1+T3-1,12)+1</f>
        <v>4</v>
      </c>
      <c r="U5" s="26" t="n">
        <f aca="false">MOD(start_month-1+U3-1,12)+1</f>
        <v>5</v>
      </c>
      <c r="V5" s="26" t="n">
        <f aca="false">MOD(start_month-1+V3-1,12)+1</f>
        <v>6</v>
      </c>
      <c r="W5" s="26" t="n">
        <f aca="false">MOD(start_month-1+W3-1,12)+1</f>
        <v>7</v>
      </c>
      <c r="X5" s="26" t="n">
        <f aca="false">MOD(start_month-1+X3-1,12)+1</f>
        <v>8</v>
      </c>
      <c r="Y5" s="26" t="n">
        <f aca="false">MOD(start_month-1+Y3-1,12)+1</f>
        <v>9</v>
      </c>
      <c r="Z5" s="26" t="n">
        <f aca="false">MOD(start_month-1+Z3-1,12)+1</f>
        <v>10</v>
      </c>
    </row>
    <row r="6" customFormat="false" ht="15" hidden="false" customHeight="false" outlineLevel="0" collapsed="false">
      <c r="A6" s="2" t="s">
        <v>368</v>
      </c>
      <c r="C6" s="27" t="n">
        <f aca="false">INDEX(season_tbl,C5)</f>
        <v>0.95</v>
      </c>
      <c r="D6" s="27" t="n">
        <f aca="false">INDEX(season_tbl,D5)</f>
        <v>1.2</v>
      </c>
      <c r="E6" s="27" t="n">
        <f aca="false">INDEX(season_tbl,E5)</f>
        <v>0.7</v>
      </c>
      <c r="F6" s="27" t="n">
        <f aca="false">INDEX(season_tbl,F5)</f>
        <v>0.8</v>
      </c>
      <c r="G6" s="27" t="n">
        <f aca="false">INDEX(season_tbl,G5)</f>
        <v>0.95</v>
      </c>
      <c r="H6" s="27" t="n">
        <f aca="false">INDEX(season_tbl,H5)</f>
        <v>1.15</v>
      </c>
      <c r="I6" s="27" t="n">
        <f aca="false">INDEX(season_tbl,I5)</f>
        <v>1.25</v>
      </c>
      <c r="J6" s="27" t="n">
        <f aca="false">INDEX(season_tbl,J5)</f>
        <v>1.1</v>
      </c>
      <c r="K6" s="27" t="n">
        <f aca="false">INDEX(season_tbl,K5)</f>
        <v>0.9</v>
      </c>
      <c r="L6" s="27" t="n">
        <f aca="false">INDEX(season_tbl,L5)</f>
        <v>1.05</v>
      </c>
      <c r="M6" s="27" t="n">
        <f aca="false">INDEX(season_tbl,M5)</f>
        <v>1.1</v>
      </c>
      <c r="N6" s="27" t="n">
        <f aca="false">INDEX(season_tbl,N5)</f>
        <v>1</v>
      </c>
      <c r="O6" s="27" t="n">
        <f aca="false">INDEX(season_tbl,O5)</f>
        <v>0.95</v>
      </c>
      <c r="P6" s="27" t="n">
        <f aca="false">INDEX(season_tbl,P5)</f>
        <v>1.2</v>
      </c>
      <c r="Q6" s="27" t="n">
        <f aca="false">INDEX(season_tbl,Q5)</f>
        <v>0.7</v>
      </c>
      <c r="R6" s="27" t="n">
        <f aca="false">INDEX(season_tbl,R5)</f>
        <v>0.8</v>
      </c>
      <c r="S6" s="27" t="n">
        <f aca="false">INDEX(season_tbl,S5)</f>
        <v>0.95</v>
      </c>
      <c r="T6" s="27" t="n">
        <f aca="false">INDEX(season_tbl,T5)</f>
        <v>1.15</v>
      </c>
      <c r="U6" s="27" t="n">
        <f aca="false">INDEX(season_tbl,U5)</f>
        <v>1.25</v>
      </c>
      <c r="V6" s="27" t="n">
        <f aca="false">INDEX(season_tbl,V5)</f>
        <v>1.1</v>
      </c>
      <c r="W6" s="27" t="n">
        <f aca="false">INDEX(season_tbl,W5)</f>
        <v>0.9</v>
      </c>
      <c r="X6" s="27" t="n">
        <f aca="false">INDEX(season_tbl,X5)</f>
        <v>1.05</v>
      </c>
      <c r="Y6" s="27" t="n">
        <f aca="false">INDEX(season_tbl,Y5)</f>
        <v>1.1</v>
      </c>
      <c r="Z6" s="27" t="n">
        <f aca="false">INDEX(season_tbl,Z5)</f>
        <v>1</v>
      </c>
    </row>
    <row r="8" customFormat="false" ht="15" hidden="false" customHeight="false" outlineLevel="0" collapsed="false">
      <c r="A8" s="13" t="s">
        <v>369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customFormat="false" ht="15" hidden="false" customHeight="false" outlineLevel="0" collapsed="false">
      <c r="A9" s="2" t="s">
        <v>370</v>
      </c>
      <c r="C9" s="12" t="n">
        <f aca="false">IF(C3&lt;=6,sc_a_start_R+(sc_a_m6_R-sc_a_start_R)*(C3-1)/5,sc_a_m6_R*(1+sc_a_growth_R)^(C3-6))</f>
        <v>12</v>
      </c>
      <c r="D9" s="12" t="n">
        <f aca="false">IF(D3&lt;=6,sc_a_start_R+(sc_a_m6_R-sc_a_start_R)*(D3-1)/5,sc_a_m6_R*(1+sc_a_growth_R)^(D3-6))</f>
        <v>18.6</v>
      </c>
      <c r="E9" s="12" t="n">
        <f aca="false">IF(E3&lt;=6,sc_a_start_R+(sc_a_m6_R-sc_a_start_R)*(E3-1)/5,sc_a_m6_R*(1+sc_a_growth_R)^(E3-6))</f>
        <v>25.2</v>
      </c>
      <c r="F9" s="12" t="n">
        <f aca="false">IF(F3&lt;=6,sc_a_start_R+(sc_a_m6_R-sc_a_start_R)*(F3-1)/5,sc_a_m6_R*(1+sc_a_growth_R)^(F3-6))</f>
        <v>31.8</v>
      </c>
      <c r="G9" s="12" t="n">
        <f aca="false">IF(G3&lt;=6,sc_a_start_R+(sc_a_m6_R-sc_a_start_R)*(G3-1)/5,sc_a_m6_R*(1+sc_a_growth_R)^(G3-6))</f>
        <v>38.4</v>
      </c>
      <c r="H9" s="12" t="n">
        <f aca="false">IF(H3&lt;=6,sc_a_start_R+(sc_a_m6_R-sc_a_start_R)*(H3-1)/5,sc_a_m6_R*(1+sc_a_growth_R)^(H3-6))</f>
        <v>45</v>
      </c>
      <c r="I9" s="12" t="n">
        <f aca="false">IF(I3&lt;=6,sc_a_start_R+(sc_a_m6_R-sc_a_start_R)*(I3-1)/5,sc_a_m6_R*(1+sc_a_growth_R)^(I3-6))</f>
        <v>46.8</v>
      </c>
      <c r="J9" s="12" t="n">
        <f aca="false">IF(J3&lt;=6,sc_a_start_R+(sc_a_m6_R-sc_a_start_R)*(J3-1)/5,sc_a_m6_R*(1+sc_a_growth_R)^(J3-6))</f>
        <v>48.672</v>
      </c>
      <c r="K9" s="12" t="n">
        <f aca="false">IF(K3&lt;=6,sc_a_start_R+(sc_a_m6_R-sc_a_start_R)*(K3-1)/5,sc_a_m6_R*(1+sc_a_growth_R)^(K3-6))</f>
        <v>50.61888</v>
      </c>
      <c r="L9" s="12" t="n">
        <f aca="false">IF(L3&lt;=6,sc_a_start_R+(sc_a_m6_R-sc_a_start_R)*(L3-1)/5,sc_a_m6_R*(1+sc_a_growth_R)^(L3-6))</f>
        <v>52.6436352</v>
      </c>
      <c r="M9" s="12" t="n">
        <f aca="false">IF(M3&lt;=6,sc_a_start_R+(sc_a_m6_R-sc_a_start_R)*(M3-1)/5,sc_a_m6_R*(1+sc_a_growth_R)^(M3-6))</f>
        <v>54.749380608</v>
      </c>
      <c r="N9" s="12" t="n">
        <f aca="false">IF(N3&lt;=6,sc_a_start_R+(sc_a_m6_R-sc_a_start_R)*(N3-1)/5,sc_a_m6_R*(1+sc_a_growth_R)^(N3-6))</f>
        <v>56.93935583232</v>
      </c>
      <c r="O9" s="12" t="n">
        <f aca="false">IF(O3&lt;=6,sc_a_start_R+(sc_a_m6_R-sc_a_start_R)*(O3-1)/5,sc_a_m6_R*(1+sc_a_growth_R)^(O3-6))</f>
        <v>59.2169300656128</v>
      </c>
      <c r="P9" s="12" t="n">
        <f aca="false">IF(P3&lt;=6,sc_a_start_R+(sc_a_m6_R-sc_a_start_R)*(P3-1)/5,sc_a_m6_R*(1+sc_a_growth_R)^(P3-6))</f>
        <v>61.5856072682373</v>
      </c>
      <c r="Q9" s="12" t="n">
        <f aca="false">IF(Q3&lt;=6,sc_a_start_R+(sc_a_m6_R-sc_a_start_R)*(Q3-1)/5,sc_a_m6_R*(1+sc_a_growth_R)^(Q3-6))</f>
        <v>64.0490315589668</v>
      </c>
      <c r="R9" s="12" t="n">
        <f aca="false">IF(R3&lt;=6,sc_a_start_R+(sc_a_m6_R-sc_a_start_R)*(R3-1)/5,sc_a_m6_R*(1+sc_a_growth_R)^(R3-6))</f>
        <v>66.6109928213255</v>
      </c>
      <c r="S9" s="12" t="n">
        <f aca="false">IF(S3&lt;=6,sc_a_start_R+(sc_a_m6_R-sc_a_start_R)*(S3-1)/5,sc_a_m6_R*(1+sc_a_growth_R)^(S3-6))</f>
        <v>69.2754325341785</v>
      </c>
      <c r="T9" s="12" t="n">
        <f aca="false">IF(T3&lt;=6,sc_a_start_R+(sc_a_m6_R-sc_a_start_R)*(T3-1)/5,sc_a_m6_R*(1+sc_a_growth_R)^(T3-6))</f>
        <v>72.0464498355457</v>
      </c>
      <c r="U9" s="12" t="n">
        <f aca="false">IF(U3&lt;=6,sc_a_start_R+(sc_a_m6_R-sc_a_start_R)*(U3-1)/5,sc_a_m6_R*(1+sc_a_growth_R)^(U3-6))</f>
        <v>74.9283078289675</v>
      </c>
      <c r="V9" s="12" t="n">
        <f aca="false">IF(V3&lt;=6,sc_a_start_R+(sc_a_m6_R-sc_a_start_R)*(V3-1)/5,sc_a_m6_R*(1+sc_a_growth_R)^(V3-6))</f>
        <v>77.9254401421262</v>
      </c>
      <c r="W9" s="12" t="n">
        <f aca="false">IF(W3&lt;=6,sc_a_start_R+(sc_a_m6_R-sc_a_start_R)*(W3-1)/5,sc_a_m6_R*(1+sc_a_growth_R)^(W3-6))</f>
        <v>81.0424577478112</v>
      </c>
      <c r="X9" s="12" t="n">
        <f aca="false">IF(X3&lt;=6,sc_a_start_R+(sc_a_m6_R-sc_a_start_R)*(X3-1)/5,sc_a_m6_R*(1+sc_a_growth_R)^(X3-6))</f>
        <v>84.2841560577237</v>
      </c>
      <c r="Y9" s="12" t="n">
        <f aca="false">IF(Y3&lt;=6,sc_a_start_R+(sc_a_m6_R-sc_a_start_R)*(Y3-1)/5,sc_a_m6_R*(1+sc_a_growth_R)^(Y3-6))</f>
        <v>87.6555223000326</v>
      </c>
      <c r="Z9" s="12" t="n">
        <f aca="false">IF(Z3&lt;=6,sc_a_start_R+(sc_a_m6_R-sc_a_start_R)*(Z3-1)/5,sc_a_m6_R*(1+sc_a_growth_R)^(Z3-6))</f>
        <v>91.161743192034</v>
      </c>
    </row>
    <row r="10" customFormat="false" ht="15" hidden="false" customHeight="false" outlineLevel="0" collapsed="false">
      <c r="A10" s="2" t="s">
        <v>371</v>
      </c>
      <c r="B10" s="28" t="n">
        <f aca="false">SUM(C10:Z10)</f>
        <v>1400.41045281028</v>
      </c>
      <c r="C10" s="12" t="n">
        <f aca="false">MIN(sc_a_cap_R,C9*C6)</f>
        <v>11.4</v>
      </c>
      <c r="D10" s="12" t="n">
        <f aca="false">MIN(sc_a_cap_R,D9*D6)</f>
        <v>22.32</v>
      </c>
      <c r="E10" s="12" t="n">
        <f aca="false">MIN(sc_a_cap_R,E9*E6)</f>
        <v>17.64</v>
      </c>
      <c r="F10" s="12" t="n">
        <f aca="false">MIN(sc_a_cap_R,F9*F6)</f>
        <v>25.44</v>
      </c>
      <c r="G10" s="12" t="n">
        <f aca="false">MIN(sc_a_cap_R,G9*G6)</f>
        <v>36.48</v>
      </c>
      <c r="H10" s="12" t="n">
        <f aca="false">MIN(sc_a_cap_R,H9*H6)</f>
        <v>51.75</v>
      </c>
      <c r="I10" s="12" t="n">
        <f aca="false">MIN(sc_a_cap_R,I9*I6)</f>
        <v>58.5</v>
      </c>
      <c r="J10" s="12" t="n">
        <f aca="false">MIN(sc_a_cap_R,J9*J6)</f>
        <v>53.5392</v>
      </c>
      <c r="K10" s="12" t="n">
        <f aca="false">MIN(sc_a_cap_R,K9*K6)</f>
        <v>45.556992</v>
      </c>
      <c r="L10" s="12" t="n">
        <f aca="false">MIN(sc_a_cap_R,L9*L6)</f>
        <v>55.27581696</v>
      </c>
      <c r="M10" s="12" t="n">
        <f aca="false">MIN(sc_a_cap_R,M9*M6)</f>
        <v>60.2243186688</v>
      </c>
      <c r="N10" s="12" t="n">
        <f aca="false">MIN(sc_a_cap_R,N9*N6)</f>
        <v>56.93935583232</v>
      </c>
      <c r="O10" s="12" t="n">
        <f aca="false">MIN(sc_a_cap_R,O9*O6)</f>
        <v>56.2560835623322</v>
      </c>
      <c r="P10" s="12" t="n">
        <f aca="false">MIN(sc_a_cap_R,P9*P6)</f>
        <v>73.9027287218848</v>
      </c>
      <c r="Q10" s="12" t="n">
        <f aca="false">MIN(sc_a_cap_R,Q9*Q6)</f>
        <v>44.8343220912768</v>
      </c>
      <c r="R10" s="12" t="n">
        <f aca="false">MIN(sc_a_cap_R,R9*R6)</f>
        <v>53.2887942570604</v>
      </c>
      <c r="S10" s="12" t="n">
        <f aca="false">MIN(sc_a_cap_R,S9*S6)</f>
        <v>65.8116609074696</v>
      </c>
      <c r="T10" s="12" t="n">
        <f aca="false">MIN(sc_a_cap_R,T9*T6)</f>
        <v>82.8534173108775</v>
      </c>
      <c r="U10" s="12" t="n">
        <f aca="false">MIN(sc_a_cap_R,U9*U6)</f>
        <v>93.6603847862094</v>
      </c>
      <c r="V10" s="12" t="n">
        <f aca="false">MIN(sc_a_cap_R,V9*V6)</f>
        <v>85.7179841563388</v>
      </c>
      <c r="W10" s="12" t="n">
        <f aca="false">MIN(sc_a_cap_R,W9*W6)</f>
        <v>72.9382119730301</v>
      </c>
      <c r="X10" s="12" t="n">
        <f aca="false">MIN(sc_a_cap_R,X9*X6)</f>
        <v>88.4983638606099</v>
      </c>
      <c r="Y10" s="12" t="n">
        <f aca="false">MIN(sc_a_cap_R,Y9*Y6)</f>
        <v>96.4210745300359</v>
      </c>
      <c r="Z10" s="12" t="n">
        <f aca="false">MIN(sc_a_cap_R,Z9*Z6)</f>
        <v>91.161743192034</v>
      </c>
    </row>
    <row r="11" customFormat="false" ht="15" hidden="false" customHeight="false" outlineLevel="0" collapsed="false">
      <c r="A11" s="2" t="s">
        <v>372</v>
      </c>
      <c r="B11" s="28" t="n">
        <f aca="false">SUM(C11:Z11)</f>
        <v>391.636158102647</v>
      </c>
      <c r="C11" s="12" t="n">
        <f aca="false">IF(C3&lt;=6,sc_s_start_R+(sc_s_m6_R-sc_s_start_R)*(C3-1)/5,sc_s_m6_R*(1+sc_s_growth_R)^(C3-6))</f>
        <v>4</v>
      </c>
      <c r="D11" s="12" t="n">
        <f aca="false">IF(D3&lt;=6,sc_s_start_R+(sc_s_m6_R-sc_s_start_R)*(D3-1)/5,sc_s_m6_R*(1+sc_s_growth_R)^(D3-6))</f>
        <v>6</v>
      </c>
      <c r="E11" s="12" t="n">
        <f aca="false">IF(E3&lt;=6,sc_s_start_R+(sc_s_m6_R-sc_s_start_R)*(E3-1)/5,sc_s_m6_R*(1+sc_s_growth_R)^(E3-6))</f>
        <v>8</v>
      </c>
      <c r="F11" s="12" t="n">
        <f aca="false">IF(F3&lt;=6,sc_s_start_R+(sc_s_m6_R-sc_s_start_R)*(F3-1)/5,sc_s_m6_R*(1+sc_s_growth_R)^(F3-6))</f>
        <v>10</v>
      </c>
      <c r="G11" s="12" t="n">
        <f aca="false">IF(G3&lt;=6,sc_s_start_R+(sc_s_m6_R-sc_s_start_R)*(G3-1)/5,sc_s_m6_R*(1+sc_s_growth_R)^(G3-6))</f>
        <v>12</v>
      </c>
      <c r="H11" s="12" t="n">
        <f aca="false">IF(H3&lt;=6,sc_s_start_R+(sc_s_m6_R-sc_s_start_R)*(H3-1)/5,sc_s_m6_R*(1+sc_s_growth_R)^(H3-6))</f>
        <v>14</v>
      </c>
      <c r="I11" s="12" t="n">
        <f aca="false">IF(I3&lt;=6,sc_s_start_R+(sc_s_m6_R-sc_s_start_R)*(I3-1)/5,sc_s_m6_R*(1+sc_s_growth_R)^(I3-6))</f>
        <v>14.42</v>
      </c>
      <c r="J11" s="12" t="n">
        <f aca="false">IF(J3&lt;=6,sc_s_start_R+(sc_s_m6_R-sc_s_start_R)*(J3-1)/5,sc_s_m6_R*(1+sc_s_growth_R)^(J3-6))</f>
        <v>14.8526</v>
      </c>
      <c r="K11" s="12" t="n">
        <f aca="false">IF(K3&lt;=6,sc_s_start_R+(sc_s_m6_R-sc_s_start_R)*(K3-1)/5,sc_s_m6_R*(1+sc_s_growth_R)^(K3-6))</f>
        <v>15.298178</v>
      </c>
      <c r="L11" s="12" t="n">
        <f aca="false">IF(L3&lt;=6,sc_s_start_R+(sc_s_m6_R-sc_s_start_R)*(L3-1)/5,sc_s_m6_R*(1+sc_s_growth_R)^(L3-6))</f>
        <v>15.75712334</v>
      </c>
      <c r="M11" s="12" t="n">
        <f aca="false">IF(M3&lt;=6,sc_s_start_R+(sc_s_m6_R-sc_s_start_R)*(M3-1)/5,sc_s_m6_R*(1+sc_s_growth_R)^(M3-6))</f>
        <v>16.2298370402</v>
      </c>
      <c r="N11" s="12" t="n">
        <f aca="false">IF(N3&lt;=6,sc_s_start_R+(sc_s_m6_R-sc_s_start_R)*(N3-1)/5,sc_s_m6_R*(1+sc_s_growth_R)^(N3-6))</f>
        <v>16.716732151406</v>
      </c>
      <c r="O11" s="12" t="n">
        <f aca="false">IF(O3&lt;=6,sc_s_start_R+(sc_s_m6_R-sc_s_start_R)*(O3-1)/5,sc_s_m6_R*(1+sc_s_growth_R)^(O3-6))</f>
        <v>17.2182341159482</v>
      </c>
      <c r="P11" s="12" t="n">
        <f aca="false">IF(P3&lt;=6,sc_s_start_R+(sc_s_m6_R-sc_s_start_R)*(P3-1)/5,sc_s_m6_R*(1+sc_s_growth_R)^(P3-6))</f>
        <v>17.7347811394266</v>
      </c>
      <c r="Q11" s="12" t="n">
        <f aca="false">IF(Q3&lt;=6,sc_s_start_R+(sc_s_m6_R-sc_s_start_R)*(Q3-1)/5,sc_s_m6_R*(1+sc_s_growth_R)^(Q3-6))</f>
        <v>18.2668245736094</v>
      </c>
      <c r="R11" s="12" t="n">
        <f aca="false">IF(R3&lt;=6,sc_s_start_R+(sc_s_m6_R-sc_s_start_R)*(R3-1)/5,sc_s_m6_R*(1+sc_s_growth_R)^(R3-6))</f>
        <v>18.8148293108177</v>
      </c>
      <c r="S11" s="12" t="n">
        <f aca="false">IF(S3&lt;=6,sc_s_start_R+(sc_s_m6_R-sc_s_start_R)*(S3-1)/5,sc_s_m6_R*(1+sc_s_growth_R)^(S3-6))</f>
        <v>19.3792741901422</v>
      </c>
      <c r="T11" s="12" t="n">
        <f aca="false">IF(T3&lt;=6,sc_s_start_R+(sc_s_m6_R-sc_s_start_R)*(T3-1)/5,sc_s_m6_R*(1+sc_s_growth_R)^(T3-6))</f>
        <v>19.9606524158465</v>
      </c>
      <c r="U11" s="12" t="n">
        <f aca="false">IF(U3&lt;=6,sc_s_start_R+(sc_s_m6_R-sc_s_start_R)*(U3-1)/5,sc_s_m6_R*(1+sc_s_growth_R)^(U3-6))</f>
        <v>20.5594719883219</v>
      </c>
      <c r="V11" s="12" t="n">
        <f aca="false">IF(V3&lt;=6,sc_s_start_R+(sc_s_m6_R-sc_s_start_R)*(V3-1)/5,sc_s_m6_R*(1+sc_s_growth_R)^(V3-6))</f>
        <v>21.1762561479716</v>
      </c>
      <c r="W11" s="12" t="n">
        <f aca="false">IF(W3&lt;=6,sc_s_start_R+(sc_s_m6_R-sc_s_start_R)*(W3-1)/5,sc_s_m6_R*(1+sc_s_growth_R)^(W3-6))</f>
        <v>21.8115438324107</v>
      </c>
      <c r="X11" s="12" t="n">
        <f aca="false">IF(X3&lt;=6,sc_s_start_R+(sc_s_m6_R-sc_s_start_R)*(X3-1)/5,sc_s_m6_R*(1+sc_s_growth_R)^(X3-6))</f>
        <v>22.465890147383</v>
      </c>
      <c r="Y11" s="12" t="n">
        <f aca="false">IF(Y3&lt;=6,sc_s_start_R+(sc_s_m6_R-sc_s_start_R)*(Y3-1)/5,sc_s_m6_R*(1+sc_s_growth_R)^(Y3-6))</f>
        <v>23.1398668518045</v>
      </c>
      <c r="Z11" s="12" t="n">
        <f aca="false">IF(Z3&lt;=6,sc_s_start_R+(sc_s_m6_R-sc_s_start_R)*(Z3-1)/5,sc_s_m6_R*(1+sc_s_growth_R)^(Z3-6))</f>
        <v>23.8340628573587</v>
      </c>
    </row>
    <row r="12" customFormat="false" ht="15" hidden="false" customHeight="false" outlineLevel="0" collapsed="false">
      <c r="A12" s="2" t="s">
        <v>373</v>
      </c>
      <c r="C12" s="12" t="n">
        <f aca="false">C11</f>
        <v>4</v>
      </c>
      <c r="D12" s="12" t="n">
        <f aca="false">C12*(1-sc_churn_R)+D11</f>
        <v>9.64</v>
      </c>
      <c r="E12" s="12" t="n">
        <f aca="false">D12*(1-sc_churn_R)+E11</f>
        <v>16.7724</v>
      </c>
      <c r="F12" s="12" t="n">
        <f aca="false">E12*(1-sc_churn_R)+F11</f>
        <v>25.262884</v>
      </c>
      <c r="G12" s="12" t="n">
        <f aca="false">F12*(1-sc_churn_R)+G11</f>
        <v>34.98922444</v>
      </c>
      <c r="H12" s="12" t="n">
        <f aca="false">G12*(1-sc_churn_R)+H11</f>
        <v>45.8401942404</v>
      </c>
      <c r="I12" s="12" t="n">
        <f aca="false">H12*(1-sc_churn_R)+I11</f>
        <v>56.134576758764</v>
      </c>
      <c r="J12" s="12" t="n">
        <f aca="false">I12*(1-sc_churn_R)+J11</f>
        <v>65.9350648504752</v>
      </c>
      <c r="K12" s="12" t="n">
        <f aca="false">J12*(1-sc_churn_R)+K11</f>
        <v>75.2990870139325</v>
      </c>
      <c r="L12" s="12" t="n">
        <f aca="false">K12*(1-sc_churn_R)+L11</f>
        <v>84.2792925226786</v>
      </c>
      <c r="M12" s="12" t="n">
        <f aca="false">L12*(1-sc_churn_R)+M11</f>
        <v>92.9239932358375</v>
      </c>
      <c r="N12" s="12" t="n">
        <f aca="false">M12*(1-sc_churn_R)+N11</f>
        <v>101.277565996018</v>
      </c>
      <c r="O12" s="12" t="n">
        <f aca="false">N12*(1-sc_churn_R)+O11</f>
        <v>109.380819172325</v>
      </c>
      <c r="P12" s="12" t="n">
        <f aca="false">O12*(1-sc_churn_R)+P11</f>
        <v>117.271326586242</v>
      </c>
      <c r="Q12" s="12" t="n">
        <f aca="false">P12*(1-sc_churn_R)+Q11</f>
        <v>124.98373176709</v>
      </c>
      <c r="R12" s="12" t="n">
        <f aca="false">Q12*(1-sc_churn_R)+R11</f>
        <v>132.550025218869</v>
      </c>
      <c r="S12" s="12" t="n">
        <f aca="false">R12*(1-sc_churn_R)+S11</f>
        <v>139.999797139313</v>
      </c>
      <c r="T12" s="12" t="n">
        <f aca="false">S12*(1-sc_churn_R)+T11</f>
        <v>147.360467812622</v>
      </c>
      <c r="U12" s="12" t="n">
        <f aca="false">T12*(1-sc_churn_R)+U11</f>
        <v>154.657497697808</v>
      </c>
      <c r="V12" s="12" t="n">
        <f aca="false">U12*(1-sc_churn_R)+V11</f>
        <v>161.914579052977</v>
      </c>
      <c r="W12" s="12" t="n">
        <f aca="false">V12*(1-sc_churn_R)+W11</f>
        <v>169.153810770619</v>
      </c>
      <c r="X12" s="12" t="n">
        <f aca="false">W12*(1-sc_churn_R)+X11</f>
        <v>176.395857948647</v>
      </c>
      <c r="Y12" s="12" t="n">
        <f aca="false">X12*(1-sc_churn_R)+Y11</f>
        <v>183.660097585073</v>
      </c>
      <c r="Z12" s="12" t="n">
        <f aca="false">Y12*(1-sc_churn_R)+Z11</f>
        <v>190.964751659775</v>
      </c>
    </row>
    <row r="13" customFormat="false" ht="15" hidden="false" customHeight="false" outlineLevel="0" collapsed="false">
      <c r="A13" s="2" t="s">
        <v>374</v>
      </c>
      <c r="B13" s="28" t="n">
        <f aca="false">SUM(C13:Z13)</f>
        <v>6777.8117273145</v>
      </c>
      <c r="C13" s="12" t="n">
        <f aca="false">C12*UB_visits_per_month</f>
        <v>11.2</v>
      </c>
      <c r="D13" s="12" t="n">
        <f aca="false">D12*UB_visits_per_month</f>
        <v>26.992</v>
      </c>
      <c r="E13" s="12" t="n">
        <f aca="false">E12*UB_visits_per_month</f>
        <v>46.96272</v>
      </c>
      <c r="F13" s="12" t="n">
        <f aca="false">F12*UB_visits_per_month</f>
        <v>70.7360752</v>
      </c>
      <c r="G13" s="12" t="n">
        <f aca="false">G12*UB_visits_per_month</f>
        <v>97.969828432</v>
      </c>
      <c r="H13" s="12" t="n">
        <f aca="false">H12*UB_visits_per_month</f>
        <v>128.35254387312</v>
      </c>
      <c r="I13" s="12" t="n">
        <f aca="false">I12*UB_visits_per_month</f>
        <v>157.176814924539</v>
      </c>
      <c r="J13" s="12" t="n">
        <f aca="false">J12*UB_visits_per_month</f>
        <v>184.618181581331</v>
      </c>
      <c r="K13" s="12" t="n">
        <f aca="false">K12*UB_visits_per_month</f>
        <v>210.837443639011</v>
      </c>
      <c r="L13" s="12" t="n">
        <f aca="false">L12*UB_visits_per_month</f>
        <v>235.9820190635</v>
      </c>
      <c r="M13" s="12" t="n">
        <f aca="false">M12*UB_visits_per_month</f>
        <v>260.187181060345</v>
      </c>
      <c r="N13" s="12" t="n">
        <f aca="false">N12*UB_visits_per_month</f>
        <v>283.577184788851</v>
      </c>
      <c r="O13" s="12" t="n">
        <f aca="false">O12*UB_visits_per_month</f>
        <v>306.266293682509</v>
      </c>
      <c r="P13" s="12" t="n">
        <f aca="false">P12*UB_visits_per_month</f>
        <v>328.359714441478</v>
      </c>
      <c r="Q13" s="12" t="n">
        <f aca="false">Q12*UB_visits_per_month</f>
        <v>349.954448947851</v>
      </c>
      <c r="R13" s="12" t="n">
        <f aca="false">R12*UB_visits_per_month</f>
        <v>371.140070612834</v>
      </c>
      <c r="S13" s="12" t="n">
        <f aca="false">S12*UB_visits_per_month</f>
        <v>391.999431990078</v>
      </c>
      <c r="T13" s="12" t="n">
        <f aca="false">T12*UB_visits_per_month</f>
        <v>412.609309875341</v>
      </c>
      <c r="U13" s="12" t="n">
        <f aca="false">U12*UB_visits_per_month</f>
        <v>433.040993553861</v>
      </c>
      <c r="V13" s="12" t="n">
        <f aca="false">V12*UB_visits_per_month</f>
        <v>453.360821348334</v>
      </c>
      <c r="W13" s="12" t="n">
        <f aca="false">W12*UB_visits_per_month</f>
        <v>473.630670157734</v>
      </c>
      <c r="X13" s="12" t="n">
        <f aca="false">X12*UB_visits_per_month</f>
        <v>493.908402256211</v>
      </c>
      <c r="Y13" s="12" t="n">
        <f aca="false">Y12*UB_visits_per_month</f>
        <v>514.248273238204</v>
      </c>
      <c r="Z13" s="12" t="n">
        <f aca="false">Z12*UB_visits_per_month</f>
        <v>534.70130464737</v>
      </c>
    </row>
    <row r="14" customFormat="false" ht="15" hidden="false" customHeight="false" outlineLevel="0" collapsed="false">
      <c r="A14" s="2" t="s">
        <v>375</v>
      </c>
      <c r="B14" s="28" t="n">
        <f aca="false">SUM(C14:Z14)</f>
        <v>630.184703764626</v>
      </c>
      <c r="C14" s="12" t="n">
        <f aca="false">C10*sc_spec_ratio_R</f>
        <v>5.13</v>
      </c>
      <c r="D14" s="12" t="n">
        <f aca="false">D10*sc_spec_ratio_R</f>
        <v>10.044</v>
      </c>
      <c r="E14" s="12" t="n">
        <f aca="false">E10*sc_spec_ratio_R</f>
        <v>7.938</v>
      </c>
      <c r="F14" s="12" t="n">
        <f aca="false">F10*sc_spec_ratio_R</f>
        <v>11.448</v>
      </c>
      <c r="G14" s="12" t="n">
        <f aca="false">G10*sc_spec_ratio_R</f>
        <v>16.416</v>
      </c>
      <c r="H14" s="12" t="n">
        <f aca="false">H10*sc_spec_ratio_R</f>
        <v>23.2875</v>
      </c>
      <c r="I14" s="12" t="n">
        <f aca="false">I10*sc_spec_ratio_R</f>
        <v>26.325</v>
      </c>
      <c r="J14" s="12" t="n">
        <f aca="false">J10*sc_spec_ratio_R</f>
        <v>24.09264</v>
      </c>
      <c r="K14" s="12" t="n">
        <f aca="false">K10*sc_spec_ratio_R</f>
        <v>20.5006464</v>
      </c>
      <c r="L14" s="12" t="n">
        <f aca="false">L10*sc_spec_ratio_R</f>
        <v>24.874117632</v>
      </c>
      <c r="M14" s="12" t="n">
        <f aca="false">M10*sc_spec_ratio_R</f>
        <v>27.10094340096</v>
      </c>
      <c r="N14" s="12" t="n">
        <f aca="false">N10*sc_spec_ratio_R</f>
        <v>25.622710124544</v>
      </c>
      <c r="O14" s="12" t="n">
        <f aca="false">O10*sc_spec_ratio_R</f>
        <v>25.3152376030495</v>
      </c>
      <c r="P14" s="12" t="n">
        <f aca="false">P10*sc_spec_ratio_R</f>
        <v>33.2562279248482</v>
      </c>
      <c r="Q14" s="12" t="n">
        <f aca="false">Q10*sc_spec_ratio_R</f>
        <v>20.1754449410745</v>
      </c>
      <c r="R14" s="12" t="n">
        <f aca="false">R10*sc_spec_ratio_R</f>
        <v>23.9799574156772</v>
      </c>
      <c r="S14" s="12" t="n">
        <f aca="false">S10*sc_spec_ratio_R</f>
        <v>29.6152474083613</v>
      </c>
      <c r="T14" s="12" t="n">
        <f aca="false">T10*sc_spec_ratio_R</f>
        <v>37.2840377898949</v>
      </c>
      <c r="U14" s="12" t="n">
        <f aca="false">U10*sc_spec_ratio_R</f>
        <v>42.1471731537942</v>
      </c>
      <c r="V14" s="12" t="n">
        <f aca="false">V10*sc_spec_ratio_R</f>
        <v>38.5730928703525</v>
      </c>
      <c r="W14" s="12" t="n">
        <f aca="false">W10*sc_spec_ratio_R</f>
        <v>32.8221953878636</v>
      </c>
      <c r="X14" s="12" t="n">
        <f aca="false">X10*sc_spec_ratio_R</f>
        <v>39.8242637372745</v>
      </c>
      <c r="Y14" s="12" t="n">
        <f aca="false">Y10*sc_spec_ratio_R</f>
        <v>43.3894835385162</v>
      </c>
      <c r="Z14" s="12" t="n">
        <f aca="false">Z10*sc_spec_ratio_R</f>
        <v>41.0227844364153</v>
      </c>
    </row>
    <row r="15" customFormat="false" ht="15" hidden="false" customHeight="false" outlineLevel="0" collapsed="false">
      <c r="A15" s="2" t="s">
        <v>376</v>
      </c>
      <c r="C15" s="26" t="n">
        <f aca="false">IF(C3&gt;=sc_b2b_start_R,MIN(sc_b2b_max_R,INT((C3-sc_b2b_start_R)/sc_b2b_step_R)+1),0)</f>
        <v>0</v>
      </c>
      <c r="D15" s="26" t="n">
        <f aca="false">IF(D3&gt;=sc_b2b_start_R,MIN(sc_b2b_max_R,INT((D3-sc_b2b_start_R)/sc_b2b_step_R)+1),0)</f>
        <v>0</v>
      </c>
      <c r="E15" s="26" t="n">
        <f aca="false">IF(E3&gt;=sc_b2b_start_R,MIN(sc_b2b_max_R,INT((E3-sc_b2b_start_R)/sc_b2b_step_R)+1),0)</f>
        <v>0</v>
      </c>
      <c r="F15" s="26" t="n">
        <f aca="false">IF(F3&gt;=sc_b2b_start_R,MIN(sc_b2b_max_R,INT((F3-sc_b2b_start_R)/sc_b2b_step_R)+1),0)</f>
        <v>1</v>
      </c>
      <c r="G15" s="26" t="n">
        <f aca="false">IF(G3&gt;=sc_b2b_start_R,MIN(sc_b2b_max_R,INT((G3-sc_b2b_start_R)/sc_b2b_step_R)+1),0)</f>
        <v>1</v>
      </c>
      <c r="H15" s="26" t="n">
        <f aca="false">IF(H3&gt;=sc_b2b_start_R,MIN(sc_b2b_max_R,INT((H3-sc_b2b_start_R)/sc_b2b_step_R)+1),0)</f>
        <v>1</v>
      </c>
      <c r="I15" s="26" t="n">
        <f aca="false">IF(I3&gt;=sc_b2b_start_R,MIN(sc_b2b_max_R,INT((I3-sc_b2b_start_R)/sc_b2b_step_R)+1),0)</f>
        <v>2</v>
      </c>
      <c r="J15" s="26" t="n">
        <f aca="false">IF(J3&gt;=sc_b2b_start_R,MIN(sc_b2b_max_R,INT((J3-sc_b2b_start_R)/sc_b2b_step_R)+1),0)</f>
        <v>2</v>
      </c>
      <c r="K15" s="26" t="n">
        <f aca="false">IF(K3&gt;=sc_b2b_start_R,MIN(sc_b2b_max_R,INT((K3-sc_b2b_start_R)/sc_b2b_step_R)+1),0)</f>
        <v>2</v>
      </c>
      <c r="L15" s="26" t="n">
        <f aca="false">IF(L3&gt;=sc_b2b_start_R,MIN(sc_b2b_max_R,INT((L3-sc_b2b_start_R)/sc_b2b_step_R)+1),0)</f>
        <v>3</v>
      </c>
      <c r="M15" s="26" t="n">
        <f aca="false">IF(M3&gt;=sc_b2b_start_R,MIN(sc_b2b_max_R,INT((M3-sc_b2b_start_R)/sc_b2b_step_R)+1),0)</f>
        <v>3</v>
      </c>
      <c r="N15" s="26" t="n">
        <f aca="false">IF(N3&gt;=sc_b2b_start_R,MIN(sc_b2b_max_R,INT((N3-sc_b2b_start_R)/sc_b2b_step_R)+1),0)</f>
        <v>3</v>
      </c>
      <c r="O15" s="26" t="n">
        <f aca="false">IF(O3&gt;=sc_b2b_start_R,MIN(sc_b2b_max_R,INT((O3-sc_b2b_start_R)/sc_b2b_step_R)+1),0)</f>
        <v>4</v>
      </c>
      <c r="P15" s="26" t="n">
        <f aca="false">IF(P3&gt;=sc_b2b_start_R,MIN(sc_b2b_max_R,INT((P3-sc_b2b_start_R)/sc_b2b_step_R)+1),0)</f>
        <v>4</v>
      </c>
      <c r="Q15" s="26" t="n">
        <f aca="false">IF(Q3&gt;=sc_b2b_start_R,MIN(sc_b2b_max_R,INT((Q3-sc_b2b_start_R)/sc_b2b_step_R)+1),0)</f>
        <v>4</v>
      </c>
      <c r="R15" s="26" t="n">
        <f aca="false">IF(R3&gt;=sc_b2b_start_R,MIN(sc_b2b_max_R,INT((R3-sc_b2b_start_R)/sc_b2b_step_R)+1),0)</f>
        <v>5</v>
      </c>
      <c r="S15" s="26" t="n">
        <f aca="false">IF(S3&gt;=sc_b2b_start_R,MIN(sc_b2b_max_R,INT((S3-sc_b2b_start_R)/sc_b2b_step_R)+1),0)</f>
        <v>5</v>
      </c>
      <c r="T15" s="26" t="n">
        <f aca="false">IF(T3&gt;=sc_b2b_start_R,MIN(sc_b2b_max_R,INT((T3-sc_b2b_start_R)/sc_b2b_step_R)+1),0)</f>
        <v>5</v>
      </c>
      <c r="U15" s="26" t="n">
        <f aca="false">IF(U3&gt;=sc_b2b_start_R,MIN(sc_b2b_max_R,INT((U3-sc_b2b_start_R)/sc_b2b_step_R)+1),0)</f>
        <v>5</v>
      </c>
      <c r="V15" s="26" t="n">
        <f aca="false">IF(V3&gt;=sc_b2b_start_R,MIN(sc_b2b_max_R,INT((V3-sc_b2b_start_R)/sc_b2b_step_R)+1),0)</f>
        <v>5</v>
      </c>
      <c r="W15" s="26" t="n">
        <f aca="false">IF(W3&gt;=sc_b2b_start_R,MIN(sc_b2b_max_R,INT((W3-sc_b2b_start_R)/sc_b2b_step_R)+1),0)</f>
        <v>5</v>
      </c>
      <c r="X15" s="26" t="n">
        <f aca="false">IF(X3&gt;=sc_b2b_start_R,MIN(sc_b2b_max_R,INT((X3-sc_b2b_start_R)/sc_b2b_step_R)+1),0)</f>
        <v>5</v>
      </c>
      <c r="Y15" s="26" t="n">
        <f aca="false">IF(Y3&gt;=sc_b2b_start_R,MIN(sc_b2b_max_R,INT((Y3-sc_b2b_start_R)/sc_b2b_step_R)+1),0)</f>
        <v>5</v>
      </c>
      <c r="Z15" s="26" t="n">
        <f aca="false">IF(Z3&gt;=sc_b2b_start_R,MIN(sc_b2b_max_R,INT((Z3-sc_b2b_start_R)/sc_b2b_step_R)+1),0)</f>
        <v>5</v>
      </c>
    </row>
    <row r="16" customFormat="false" ht="15" hidden="false" customHeight="false" outlineLevel="0" collapsed="false">
      <c r="A16" s="2" t="s">
        <v>377</v>
      </c>
      <c r="C16" s="12" t="n">
        <f aca="false">(C10*UA_man_hours+C13*UB_hours+C14*US_man_hours)/hours_per_fte+C15*b2b_fte</f>
        <v>1.42793333333333</v>
      </c>
      <c r="D16" s="12" t="n">
        <f aca="false">(D10*UA_man_hours+D13*UB_hours+D14*US_man_hours)/hours_per_fte+D15*b2b_fte</f>
        <v>2.91389333333333</v>
      </c>
      <c r="E16" s="12" t="n">
        <f aca="false">(E10*UA_man_hours+E13*UB_hours+E14*US_man_hours)/hours_per_fte+E15*b2b_fte</f>
        <v>2.9009568</v>
      </c>
      <c r="F16" s="12" t="n">
        <f aca="false">(F10*UA_man_hours+F13*UB_hours+F14*US_man_hours)/hours_per_fte+F15*b2b_fte</f>
        <v>5.25386842133333</v>
      </c>
      <c r="G16" s="12" t="n">
        <f aca="false">(G10*UA_man_hours+G13*UB_hours+G14*US_man_hours)/hours_per_fte+G15*b2b_fte</f>
        <v>7.01908266341333</v>
      </c>
      <c r="H16" s="12" t="n">
        <f aca="false">(H10*UA_man_hours+H13*UB_hours+H14*US_man_hours)/hours_per_fte+H15*b2b_fte</f>
        <v>9.2906426903728</v>
      </c>
      <c r="I16" s="12" t="n">
        <f aca="false">(I10*UA_man_hours+I13*UB_hours+I14*US_man_hours)/hours_per_fte+I15*b2b_fte</f>
        <v>11.6539590149059</v>
      </c>
      <c r="J16" s="12" t="n">
        <f aca="false">(J10*UA_man_hours+J13*UB_hours+J14*US_man_hours)/hours_per_fte+J15*b2b_fte</f>
        <v>11.7866023702311</v>
      </c>
      <c r="K16" s="12" t="n">
        <f aca="false">(K10*UA_man_hours+K13*UB_hours+K14*US_man_hours)/hours_per_fte+K15*b2b_fte</f>
        <v>11.5815391995769</v>
      </c>
      <c r="L16" s="12" t="n">
        <f aca="false">(L10*UA_man_hours+L13*UB_hours+L14*US_man_hours)/hours_per_fte+L15*b2b_fte</f>
        <v>14.1628057137217</v>
      </c>
      <c r="M16" s="12" t="n">
        <f aca="false">(M10*UA_man_hours+M13*UB_hours+M14*US_man_hours)/hours_per_fte+M15*b2b_fte</f>
        <v>15.2339895018486</v>
      </c>
      <c r="N16" s="12" t="n">
        <f aca="false">(N10*UA_man_hours+N13*UB_hours+N14*US_man_hours)/hours_per_fte+N15*b2b_fte</f>
        <v>15.4435950585806</v>
      </c>
      <c r="O16" s="12" t="n">
        <f aca="false">(O10*UA_man_hours+O13*UB_hours+O14*US_man_hours)/hours_per_fte+O15*b2b_fte</f>
        <v>16.9030860704705</v>
      </c>
      <c r="P16" s="12" t="n">
        <f aca="false">(P10*UA_man_hours+P13*UB_hours+P14*US_man_hours)/hours_per_fte+P15*b2b_fte</f>
        <v>19.2244392428407</v>
      </c>
      <c r="Q16" s="12" t="n">
        <f aca="false">(Q10*UA_man_hours+Q13*UB_hours+Q14*US_man_hours)/hours_per_fte+Q15*b2b_fte</f>
        <v>16.7536494361239</v>
      </c>
      <c r="R16" s="12" t="n">
        <f aca="false">(R10*UA_man_hours+R13*UB_hours+R14*US_man_hours)/hours_per_fte+R15*b2b_fte</f>
        <v>19.1131549266053</v>
      </c>
      <c r="S16" s="12" t="n">
        <f aca="false">(S10*UA_man_hours+S13*UB_hours+S14*US_man_hours)/hours_per_fte+S15*b2b_fte</f>
        <v>20.8813800459662</v>
      </c>
      <c r="T16" s="12" t="n">
        <f aca="false">(T10*UA_man_hours+T13*UB_hours+T14*US_man_hours)/hours_per_fte+T15*b2b_fte</f>
        <v>23.1062169352378</v>
      </c>
      <c r="U16" s="12" t="n">
        <f aca="false">(U10*UA_man_hours+U13*UB_hours+U14*US_man_hours)/hours_per_fte+U15*b2b_fte</f>
        <v>24.6888692260455</v>
      </c>
      <c r="V16" s="12" t="n">
        <f aca="false">(V10*UA_man_hours+V13*UB_hours+V14*US_man_hours)/hours_per_fte+V15*b2b_fte</f>
        <v>24.3502262101265</v>
      </c>
      <c r="W16" s="12" t="n">
        <f aca="false">(W10*UA_man_hours+W13*UB_hours+W14*US_man_hours)/hours_per_fte+W15*b2b_fte</f>
        <v>23.5153926622539</v>
      </c>
      <c r="X16" s="12" t="n">
        <f aca="false">(X10*UA_man_hours+X13*UB_hours+X14*US_man_hours)/hours_per_fte+X15*b2b_fte</f>
        <v>25.5808619543807</v>
      </c>
      <c r="Y16" s="12" t="n">
        <f aca="false">(Y10*UA_man_hours+Y13*UB_hours+Y14*US_man_hours)/hours_per_fte+Y15*b2b_fte</f>
        <v>26.8662163357984</v>
      </c>
      <c r="Z16" s="12" t="n">
        <f aca="false">(Z10*UA_man_hours+Z13*UB_hours+Z14*US_man_hours)/hours_per_fte+Z15*b2b_fte</f>
        <v>26.8052488284235</v>
      </c>
    </row>
    <row r="18" customFormat="false" ht="15" hidden="false" customHeight="false" outlineLevel="0" collapsed="false">
      <c r="A18" s="13" t="s">
        <v>378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customFormat="false" ht="15" hidden="false" customHeight="false" outlineLevel="0" collapsed="false">
      <c r="A19" s="2" t="s">
        <v>379</v>
      </c>
      <c r="B19" s="11" t="n">
        <f aca="false">SUM(C19:Z19)</f>
        <v>18905541.1129388</v>
      </c>
      <c r="C19" s="9" t="n">
        <f aca="false">C10*aov_a</f>
        <v>153900</v>
      </c>
      <c r="D19" s="9" t="n">
        <f aca="false">D10*aov_a</f>
        <v>301320</v>
      </c>
      <c r="E19" s="9" t="n">
        <f aca="false">E10*aov_a</f>
        <v>238140</v>
      </c>
      <c r="F19" s="9" t="n">
        <f aca="false">F10*aov_a</f>
        <v>343440</v>
      </c>
      <c r="G19" s="9" t="n">
        <f aca="false">G10*aov_a</f>
        <v>492480</v>
      </c>
      <c r="H19" s="9" t="n">
        <f aca="false">H10*aov_a</f>
        <v>698625</v>
      </c>
      <c r="I19" s="9" t="n">
        <f aca="false">I10*aov_a</f>
        <v>789750</v>
      </c>
      <c r="J19" s="9" t="n">
        <f aca="false">J10*aov_a</f>
        <v>722779.2</v>
      </c>
      <c r="K19" s="9" t="n">
        <f aca="false">K10*aov_a</f>
        <v>615019.392</v>
      </c>
      <c r="L19" s="9" t="n">
        <f aca="false">L10*aov_a</f>
        <v>746223.52896</v>
      </c>
      <c r="M19" s="9" t="n">
        <f aca="false">M10*aov_a</f>
        <v>813028.3020288</v>
      </c>
      <c r="N19" s="9" t="n">
        <f aca="false">N10*aov_a</f>
        <v>768681.30373632</v>
      </c>
      <c r="O19" s="9" t="n">
        <f aca="false">O10*aov_a</f>
        <v>759457.128091484</v>
      </c>
      <c r="P19" s="9" t="n">
        <f aca="false">P10*aov_a</f>
        <v>997686.837745445</v>
      </c>
      <c r="Q19" s="9" t="n">
        <f aca="false">Q10*aov_a</f>
        <v>605263.348232236</v>
      </c>
      <c r="R19" s="9" t="n">
        <f aca="false">R10*aov_a</f>
        <v>719398.722470315</v>
      </c>
      <c r="S19" s="9" t="n">
        <f aca="false">S10*aov_a</f>
        <v>888457.422250839</v>
      </c>
      <c r="T19" s="9" t="n">
        <f aca="false">T10*aov_a</f>
        <v>1118521.13369685</v>
      </c>
      <c r="U19" s="9" t="n">
        <f aca="false">U10*aov_a</f>
        <v>1264415.19461383</v>
      </c>
      <c r="V19" s="9" t="n">
        <f aca="false">V10*aov_a</f>
        <v>1157192.78611057</v>
      </c>
      <c r="W19" s="9" t="n">
        <f aca="false">W10*aov_a</f>
        <v>984665.861635907</v>
      </c>
      <c r="X19" s="9" t="n">
        <f aca="false">X10*aov_a</f>
        <v>1194727.91211823</v>
      </c>
      <c r="Y19" s="9" t="n">
        <f aca="false">Y10*aov_a</f>
        <v>1301684.50615548</v>
      </c>
      <c r="Z19" s="9" t="n">
        <f aca="false">Z10*aov_a</f>
        <v>1230683.53309246</v>
      </c>
    </row>
    <row r="20" customFormat="false" ht="15" hidden="false" customHeight="false" outlineLevel="0" collapsed="false">
      <c r="A20" s="2" t="s">
        <v>380</v>
      </c>
      <c r="B20" s="11" t="n">
        <f aca="false">SUM(C20:Z20)</f>
        <v>23261449.8481434</v>
      </c>
      <c r="C20" s="9" t="n">
        <f aca="false">C13*price_b</f>
        <v>38438.4</v>
      </c>
      <c r="D20" s="9" t="n">
        <f aca="false">D13*price_b</f>
        <v>92636.544</v>
      </c>
      <c r="E20" s="9" t="n">
        <f aca="false">E13*price_b</f>
        <v>161176.05504</v>
      </c>
      <c r="F20" s="9" t="n">
        <f aca="false">F13*price_b</f>
        <v>242766.2100864</v>
      </c>
      <c r="G20" s="9" t="n">
        <f aca="false">G13*price_b</f>
        <v>336232.451178624</v>
      </c>
      <c r="H20" s="9" t="n">
        <f aca="false">H13*price_b</f>
        <v>440505.930572548</v>
      </c>
      <c r="I20" s="9" t="n">
        <f aca="false">I13*price_b</f>
        <v>539430.828821019</v>
      </c>
      <c r="J20" s="9" t="n">
        <f aca="false">J13*price_b</f>
        <v>633609.599187127</v>
      </c>
      <c r="K20" s="9" t="n">
        <f aca="false">K13*price_b</f>
        <v>723594.106569086</v>
      </c>
      <c r="L20" s="9" t="n">
        <f aca="false">L13*price_b</f>
        <v>809890.289425932</v>
      </c>
      <c r="M20" s="9" t="n">
        <f aca="false">M13*price_b</f>
        <v>892962.405399104</v>
      </c>
      <c r="N20" s="9" t="n">
        <f aca="false">N13*price_b</f>
        <v>973236.898195336</v>
      </c>
      <c r="O20" s="9" t="n">
        <f aca="false">O13*price_b</f>
        <v>1051105.91991837</v>
      </c>
      <c r="P20" s="9" t="n">
        <f aca="false">P13*price_b</f>
        <v>1126930.53996315</v>
      </c>
      <c r="Q20" s="9" t="n">
        <f aca="false">Q13*price_b</f>
        <v>1201043.66878903</v>
      </c>
      <c r="R20" s="9" t="n">
        <f aca="false">R13*price_b</f>
        <v>1273752.72234325</v>
      </c>
      <c r="S20" s="9" t="n">
        <f aca="false">S13*price_b</f>
        <v>1345342.05058995</v>
      </c>
      <c r="T20" s="9" t="n">
        <f aca="false">T13*price_b</f>
        <v>1416075.15149217</v>
      </c>
      <c r="U20" s="9" t="n">
        <f aca="false">U13*price_b</f>
        <v>1486196.68987685</v>
      </c>
      <c r="V20" s="9" t="n">
        <f aca="false">V13*price_b</f>
        <v>1555934.33886748</v>
      </c>
      <c r="W20" s="9" t="n">
        <f aca="false">W13*price_b</f>
        <v>1625500.45998134</v>
      </c>
      <c r="X20" s="9" t="n">
        <f aca="false">X13*price_b</f>
        <v>1695093.63654332</v>
      </c>
      <c r="Y20" s="9" t="n">
        <f aca="false">Y13*price_b</f>
        <v>1764900.07375352</v>
      </c>
      <c r="Z20" s="9" t="n">
        <f aca="false">Z13*price_b</f>
        <v>1835094.87754978</v>
      </c>
    </row>
    <row r="21" customFormat="false" ht="15" hidden="false" customHeight="false" outlineLevel="0" collapsed="false">
      <c r="A21" s="2" t="s">
        <v>381</v>
      </c>
      <c r="B21" s="11" t="n">
        <f aca="false">SUM(C21:Z21)</f>
        <v>2835831.16694082</v>
      </c>
      <c r="C21" s="9" t="n">
        <f aca="false">C14*aov_s</f>
        <v>23085</v>
      </c>
      <c r="D21" s="9" t="n">
        <f aca="false">D14*aov_s</f>
        <v>45198</v>
      </c>
      <c r="E21" s="9" t="n">
        <f aca="false">E14*aov_s</f>
        <v>35721</v>
      </c>
      <c r="F21" s="9" t="n">
        <f aca="false">F14*aov_s</f>
        <v>51516</v>
      </c>
      <c r="G21" s="9" t="n">
        <f aca="false">G14*aov_s</f>
        <v>73872</v>
      </c>
      <c r="H21" s="9" t="n">
        <f aca="false">H14*aov_s</f>
        <v>104793.75</v>
      </c>
      <c r="I21" s="9" t="n">
        <f aca="false">I14*aov_s</f>
        <v>118462.5</v>
      </c>
      <c r="J21" s="9" t="n">
        <f aca="false">J14*aov_s</f>
        <v>108416.88</v>
      </c>
      <c r="K21" s="9" t="n">
        <f aca="false">K14*aov_s</f>
        <v>92252.9088</v>
      </c>
      <c r="L21" s="9" t="n">
        <f aca="false">L14*aov_s</f>
        <v>111933.529344</v>
      </c>
      <c r="M21" s="9" t="n">
        <f aca="false">M14*aov_s</f>
        <v>121954.24530432</v>
      </c>
      <c r="N21" s="9" t="n">
        <f aca="false">N14*aov_s</f>
        <v>115302.195560448</v>
      </c>
      <c r="O21" s="9" t="n">
        <f aca="false">O14*aov_s</f>
        <v>113918.569213723</v>
      </c>
      <c r="P21" s="9" t="n">
        <f aca="false">P14*aov_s</f>
        <v>149653.025661817</v>
      </c>
      <c r="Q21" s="9" t="n">
        <f aca="false">Q14*aov_s</f>
        <v>90789.5022348355</v>
      </c>
      <c r="R21" s="9" t="n">
        <f aca="false">R14*aov_s</f>
        <v>107909.808370547</v>
      </c>
      <c r="S21" s="9" t="n">
        <f aca="false">S14*aov_s</f>
        <v>133268.613337626</v>
      </c>
      <c r="T21" s="9" t="n">
        <f aca="false">T14*aov_s</f>
        <v>167778.170054527</v>
      </c>
      <c r="U21" s="9" t="n">
        <f aca="false">U14*aov_s</f>
        <v>189662.279192074</v>
      </c>
      <c r="V21" s="9" t="n">
        <f aca="false">V14*aov_s</f>
        <v>173578.917916586</v>
      </c>
      <c r="W21" s="9" t="n">
        <f aca="false">W14*aov_s</f>
        <v>147699.879245386</v>
      </c>
      <c r="X21" s="9" t="n">
        <f aca="false">X14*aov_s</f>
        <v>179209.186817735</v>
      </c>
      <c r="Y21" s="9" t="n">
        <f aca="false">Y14*aov_s</f>
        <v>195252.675923323</v>
      </c>
      <c r="Z21" s="9" t="n">
        <f aca="false">Z14*aov_s</f>
        <v>184602.529963869</v>
      </c>
    </row>
    <row r="22" customFormat="false" ht="15" hidden="false" customHeight="false" outlineLevel="0" collapsed="false">
      <c r="A22" s="2" t="s">
        <v>382</v>
      </c>
      <c r="B22" s="11" t="n">
        <f aca="false">SUM(C22:Z22)</f>
        <v>4125000</v>
      </c>
      <c r="C22" s="9" t="n">
        <f aca="false">C15*b2b_value</f>
        <v>0</v>
      </c>
      <c r="D22" s="9" t="n">
        <f aca="false">D15*b2b_value</f>
        <v>0</v>
      </c>
      <c r="E22" s="9" t="n">
        <f aca="false">E15*b2b_value</f>
        <v>0</v>
      </c>
      <c r="F22" s="9" t="n">
        <f aca="false">F15*b2b_value</f>
        <v>55000</v>
      </c>
      <c r="G22" s="9" t="n">
        <f aca="false">G15*b2b_value</f>
        <v>55000</v>
      </c>
      <c r="H22" s="9" t="n">
        <f aca="false">H15*b2b_value</f>
        <v>55000</v>
      </c>
      <c r="I22" s="9" t="n">
        <f aca="false">I15*b2b_value</f>
        <v>110000</v>
      </c>
      <c r="J22" s="9" t="n">
        <f aca="false">J15*b2b_value</f>
        <v>110000</v>
      </c>
      <c r="K22" s="9" t="n">
        <f aca="false">K15*b2b_value</f>
        <v>110000</v>
      </c>
      <c r="L22" s="9" t="n">
        <f aca="false">L15*b2b_value</f>
        <v>165000</v>
      </c>
      <c r="M22" s="9" t="n">
        <f aca="false">M15*b2b_value</f>
        <v>165000</v>
      </c>
      <c r="N22" s="9" t="n">
        <f aca="false">N15*b2b_value</f>
        <v>165000</v>
      </c>
      <c r="O22" s="9" t="n">
        <f aca="false">O15*b2b_value</f>
        <v>220000</v>
      </c>
      <c r="P22" s="9" t="n">
        <f aca="false">P15*b2b_value</f>
        <v>220000</v>
      </c>
      <c r="Q22" s="9" t="n">
        <f aca="false">Q15*b2b_value</f>
        <v>220000</v>
      </c>
      <c r="R22" s="9" t="n">
        <f aca="false">R15*b2b_value</f>
        <v>275000</v>
      </c>
      <c r="S22" s="9" t="n">
        <f aca="false">S15*b2b_value</f>
        <v>275000</v>
      </c>
      <c r="T22" s="9" t="n">
        <f aca="false">T15*b2b_value</f>
        <v>275000</v>
      </c>
      <c r="U22" s="9" t="n">
        <f aca="false">U15*b2b_value</f>
        <v>275000</v>
      </c>
      <c r="V22" s="9" t="n">
        <f aca="false">V15*b2b_value</f>
        <v>275000</v>
      </c>
      <c r="W22" s="9" t="n">
        <f aca="false">W15*b2b_value</f>
        <v>275000</v>
      </c>
      <c r="X22" s="9" t="n">
        <f aca="false">X15*b2b_value</f>
        <v>275000</v>
      </c>
      <c r="Y22" s="9" t="n">
        <f aca="false">Y15*b2b_value</f>
        <v>275000</v>
      </c>
      <c r="Z22" s="9" t="n">
        <f aca="false">Z15*b2b_value</f>
        <v>275000</v>
      </c>
    </row>
    <row r="23" customFormat="false" ht="15" hidden="false" customHeight="false" outlineLevel="0" collapsed="false">
      <c r="A23" s="10" t="s">
        <v>383</v>
      </c>
      <c r="B23" s="11" t="n">
        <f aca="false">SUM(C23:Z23)</f>
        <v>49127822.128023</v>
      </c>
      <c r="C23" s="11" t="n">
        <f aca="false">SUM(C19:C22)</f>
        <v>215423.4</v>
      </c>
      <c r="D23" s="11" t="n">
        <f aca="false">SUM(D19:D22)</f>
        <v>439154.544</v>
      </c>
      <c r="E23" s="11" t="n">
        <f aca="false">SUM(E19:E22)</f>
        <v>435037.05504</v>
      </c>
      <c r="F23" s="11" t="n">
        <f aca="false">SUM(F19:F22)</f>
        <v>692722.2100864</v>
      </c>
      <c r="G23" s="11" t="n">
        <f aca="false">SUM(G19:G22)</f>
        <v>957584.451178624</v>
      </c>
      <c r="H23" s="11" t="n">
        <f aca="false">SUM(H19:H22)</f>
        <v>1298924.68057255</v>
      </c>
      <c r="I23" s="11" t="n">
        <f aca="false">SUM(I19:I22)</f>
        <v>1557643.32882102</v>
      </c>
      <c r="J23" s="11" t="n">
        <f aca="false">SUM(J19:J22)</f>
        <v>1574805.67918713</v>
      </c>
      <c r="K23" s="11" t="n">
        <f aca="false">SUM(K19:K22)</f>
        <v>1540866.40736909</v>
      </c>
      <c r="L23" s="11" t="n">
        <f aca="false">SUM(L19:L22)</f>
        <v>1833047.34772993</v>
      </c>
      <c r="M23" s="11" t="n">
        <f aca="false">SUM(M19:M22)</f>
        <v>1992944.95273222</v>
      </c>
      <c r="N23" s="11" t="n">
        <f aca="false">SUM(N19:N22)</f>
        <v>2022220.3974921</v>
      </c>
      <c r="O23" s="11" t="n">
        <f aca="false">SUM(O19:O22)</f>
        <v>2144481.61722358</v>
      </c>
      <c r="P23" s="11" t="n">
        <f aca="false">SUM(P19:P22)</f>
        <v>2494270.40337041</v>
      </c>
      <c r="Q23" s="11" t="n">
        <f aca="false">SUM(Q19:Q22)</f>
        <v>2117096.5192561</v>
      </c>
      <c r="R23" s="11" t="n">
        <f aca="false">SUM(R19:R22)</f>
        <v>2376061.25318411</v>
      </c>
      <c r="S23" s="11" t="n">
        <f aca="false">SUM(S19:S22)</f>
        <v>2642068.08617841</v>
      </c>
      <c r="T23" s="11" t="n">
        <f aca="false">SUM(T19:T22)</f>
        <v>2977374.45524354</v>
      </c>
      <c r="U23" s="11" t="n">
        <f aca="false">SUM(U19:U22)</f>
        <v>3215274.16368275</v>
      </c>
      <c r="V23" s="11" t="n">
        <f aca="false">SUM(V19:V22)</f>
        <v>3161706.04289464</v>
      </c>
      <c r="W23" s="11" t="n">
        <f aca="false">SUM(W19:W22)</f>
        <v>3032866.20086264</v>
      </c>
      <c r="X23" s="11" t="n">
        <f aca="false">SUM(X19:X22)</f>
        <v>3344030.73547928</v>
      </c>
      <c r="Y23" s="11" t="n">
        <f aca="false">SUM(Y19:Y22)</f>
        <v>3536837.25583233</v>
      </c>
      <c r="Z23" s="11" t="n">
        <f aca="false">SUM(Z19:Z22)</f>
        <v>3525380.9406061</v>
      </c>
    </row>
    <row r="24" customFormat="false" ht="15" hidden="false" customHeight="false" outlineLevel="0" collapsed="false">
      <c r="A24" s="2" t="s">
        <v>384</v>
      </c>
      <c r="B24" s="11" t="n">
        <f aca="false">SUM(C24:Z24)</f>
        <v>29631056.7990544</v>
      </c>
      <c r="C24" s="9" t="n">
        <f aca="false">C10*var_a+C13*var_b+C14*var_s+C15*b2b_direct</f>
        <v>123507.732</v>
      </c>
      <c r="D24" s="9" t="n">
        <f aca="false">D10*var_a+D13*var_b+D14*var_s+D15*b2b_direct</f>
        <v>252739.10112</v>
      </c>
      <c r="E24" s="9" t="n">
        <f aca="false">E10*var_a+E13*var_b+E14*var_s+E15*b2b_direct</f>
        <v>255039.2736192</v>
      </c>
      <c r="F24" s="9" t="n">
        <f aca="false">F10*var_a+F13*var_b+F14*var_s+F15*b2b_direct</f>
        <v>411700.059193472</v>
      </c>
      <c r="G24" s="9" t="n">
        <f aca="false">G10*var_a+G13*var_b+G14*var_s+G15*b2b_direct</f>
        <v>566661.14906606</v>
      </c>
      <c r="H24" s="9" t="n">
        <f aca="false">H10*var_a+H13*var_b+H14*var_s+H15*b2b_direct</f>
        <v>765278.019050114</v>
      </c>
      <c r="I24" s="9" t="n">
        <f aca="false">I10*var_a+I13*var_b+I14*var_s+I15*b2b_direct</f>
        <v>923685.223445604</v>
      </c>
      <c r="J24" s="9" t="n">
        <f aca="false">J10*var_a+J13*var_b+J14*var_s+J15*b2b_direct</f>
        <v>939655.2386163</v>
      </c>
      <c r="K24" s="9" t="n">
        <f aca="false">K10*var_a+K13*var_b+K14*var_s+K15*b2b_direct</f>
        <v>926658.674193057</v>
      </c>
      <c r="L24" s="9" t="n">
        <f aca="false">L10*var_a+L13*var_b+L14*var_s+L15*b2b_direct</f>
        <v>1102999.27554475</v>
      </c>
      <c r="M24" s="9" t="n">
        <f aca="false">M10*var_a+M13*var_b+M14*var_s+M15*b2b_direct</f>
        <v>1198342.2419716</v>
      </c>
      <c r="N24" s="9" t="n">
        <f aca="false">N10*var_a+N13*var_b+N14*var_s+N15*b2b_direct</f>
        <v>1220176.09177683</v>
      </c>
      <c r="O24" s="9" t="n">
        <f aca="false">O10*var_a+O13*var_b+O14*var_s+O15*b2b_direct</f>
        <v>1300570.29154284</v>
      </c>
      <c r="P24" s="9" t="n">
        <f aca="false">P10*var_a+P13*var_b+P14*var_s+P15*b2b_direct</f>
        <v>1502015.44299433</v>
      </c>
      <c r="Q24" s="9" t="n">
        <f aca="false">Q10*var_a+Q13*var_b+Q14*var_s+Q15*b2b_direct</f>
        <v>1295286.42984657</v>
      </c>
      <c r="R24" s="9" t="n">
        <f aca="false">R10*var_a+R13*var_b+R14*var_s+R15*b2b_direct</f>
        <v>1452067.94029046</v>
      </c>
      <c r="S24" s="9" t="n">
        <f aca="false">S10*var_a+S13*var_b+S14*var_s+S15*b2b_direct</f>
        <v>1606199.61357626</v>
      </c>
      <c r="T24" s="9" t="n">
        <f aca="false">T10*var_a+T13*var_b+T14*var_s+T15*b2b_direct</f>
        <v>1799172.92590831</v>
      </c>
      <c r="U24" s="9" t="n">
        <f aca="false">U10*var_a+U13*var_b+U14*var_s+U15*b2b_direct</f>
        <v>1937428.74107278</v>
      </c>
      <c r="V24" s="9" t="n">
        <f aca="false">V10*var_a+V13*var_b+V14*var_s+V15*b2b_direct</f>
        <v>1912051.87447446</v>
      </c>
      <c r="W24" s="9" t="n">
        <f aca="false">W10*var_a+W13*var_b+W14*var_s+W15*b2b_direct</f>
        <v>1844411.91081046</v>
      </c>
      <c r="X24" s="9" t="n">
        <f aca="false">X10*var_a+X13*var_b+X14*var_s+X15*b2b_direct</f>
        <v>2023757.22255474</v>
      </c>
      <c r="Y24" s="9" t="n">
        <f aca="false">Y10*var_a+Y13*var_b+Y14*var_s+Y15*b2b_direct</f>
        <v>2136680.10874517</v>
      </c>
      <c r="Z24" s="9" t="n">
        <f aca="false">Z10*var_a+Z13*var_b+Z14*var_s+Z15*b2b_direct</f>
        <v>2134972.21764103</v>
      </c>
    </row>
    <row r="25" customFormat="false" ht="15" hidden="false" customHeight="false" outlineLevel="0" collapsed="false">
      <c r="A25" s="10" t="s">
        <v>285</v>
      </c>
      <c r="B25" s="11" t="n">
        <f aca="false">SUM(C25:Z25)</f>
        <v>19496765.3289686</v>
      </c>
      <c r="C25" s="11" t="n">
        <f aca="false">C23-C24</f>
        <v>91915.668</v>
      </c>
      <c r="D25" s="11" t="n">
        <f aca="false">D23-D24</f>
        <v>186415.44288</v>
      </c>
      <c r="E25" s="11" t="n">
        <f aca="false">E23-E24</f>
        <v>179997.7814208</v>
      </c>
      <c r="F25" s="11" t="n">
        <f aca="false">F23-F24</f>
        <v>281022.150892928</v>
      </c>
      <c r="G25" s="11" t="n">
        <f aca="false">G23-G24</f>
        <v>390923.302112564</v>
      </c>
      <c r="H25" s="11" t="n">
        <f aca="false">H23-H24</f>
        <v>533646.661522434</v>
      </c>
      <c r="I25" s="11" t="n">
        <f aca="false">I23-I24</f>
        <v>633958.105375415</v>
      </c>
      <c r="J25" s="11" t="n">
        <f aca="false">J23-J24</f>
        <v>635150.440570827</v>
      </c>
      <c r="K25" s="11" t="n">
        <f aca="false">K23-K24</f>
        <v>614207.733176029</v>
      </c>
      <c r="L25" s="11" t="n">
        <f aca="false">L23-L24</f>
        <v>730048.07218518</v>
      </c>
      <c r="M25" s="11" t="n">
        <f aca="false">M23-M24</f>
        <v>794602.710760621</v>
      </c>
      <c r="N25" s="11" t="n">
        <f aca="false">N23-N24</f>
        <v>802044.305715276</v>
      </c>
      <c r="O25" s="11" t="n">
        <f aca="false">O23-O24</f>
        <v>843911.325680737</v>
      </c>
      <c r="P25" s="11" t="n">
        <f aca="false">P23-P24</f>
        <v>992254.960376082</v>
      </c>
      <c r="Q25" s="11" t="n">
        <f aca="false">Q23-Q24</f>
        <v>821810.08940953</v>
      </c>
      <c r="R25" s="11" t="n">
        <f aca="false">R23-R24</f>
        <v>923993.312893653</v>
      </c>
      <c r="S25" s="11" t="n">
        <f aca="false">S23-S24</f>
        <v>1035868.47260215</v>
      </c>
      <c r="T25" s="11" t="n">
        <f aca="false">T23-T24</f>
        <v>1178201.52933524</v>
      </c>
      <c r="U25" s="11" t="n">
        <f aca="false">U23-U24</f>
        <v>1277845.42260997</v>
      </c>
      <c r="V25" s="11" t="n">
        <f aca="false">V23-V24</f>
        <v>1249654.16842019</v>
      </c>
      <c r="W25" s="11" t="n">
        <f aca="false">W23-W24</f>
        <v>1188454.29005218</v>
      </c>
      <c r="X25" s="11" t="n">
        <f aca="false">X23-X24</f>
        <v>1320273.51292454</v>
      </c>
      <c r="Y25" s="11" t="n">
        <f aca="false">Y23-Y24</f>
        <v>1400157.14708715</v>
      </c>
      <c r="Z25" s="11" t="n">
        <f aca="false">Z23-Z24</f>
        <v>1390408.72296507</v>
      </c>
    </row>
    <row r="26" customFormat="false" ht="15" hidden="false" customHeight="false" outlineLevel="0" collapsed="false">
      <c r="A26" s="2" t="s">
        <v>385</v>
      </c>
      <c r="B26" s="11" t="n">
        <f aca="false">SUM(C26:Z26)</f>
        <v>3170493.36956259</v>
      </c>
      <c r="C26" s="9" t="n">
        <f aca="false">C10*sc_cac_a_R+C11*sc_cac_b_R+C14*sc_cac_s_R</f>
        <v>28245</v>
      </c>
      <c r="D26" s="9" t="n">
        <f aca="false">D10*sc_cac_a_R+D11*sc_cac_b_R+D14*sc_cac_s_R</f>
        <v>49806</v>
      </c>
      <c r="E26" s="9" t="n">
        <f aca="false">E10*sc_cac_a_R+E11*sc_cac_b_R+E14*sc_cac_s_R</f>
        <v>49137</v>
      </c>
      <c r="F26" s="9" t="n">
        <f aca="false">F10*sc_cac_a_R+F11*sc_cac_b_R+F14*sc_cac_s_R</f>
        <v>66252</v>
      </c>
      <c r="G26" s="9" t="n">
        <f aca="false">G10*sc_cac_a_R+G11*sc_cac_b_R+G14*sc_cac_s_R</f>
        <v>87984</v>
      </c>
      <c r="H26" s="9" t="n">
        <f aca="false">H10*sc_cac_a_R+H11*sc_cac_b_R+H14*sc_cac_s_R</f>
        <v>115743.75</v>
      </c>
      <c r="I26" s="9" t="n">
        <f aca="false">I10*sc_cac_a_R+I11*sc_cac_b_R+I14*sc_cac_s_R</f>
        <v>126622.5</v>
      </c>
      <c r="J26" s="9" t="n">
        <f aca="false">J10*sc_cac_a_R+J11*sc_cac_b_R+J14*sc_cac_s_R</f>
        <v>120851.16</v>
      </c>
      <c r="K26" s="9" t="n">
        <f aca="false">K10*sc_cac_a_R+K11*sc_cac_b_R+K14*sc_cac_s_R</f>
        <v>110813.2476</v>
      </c>
      <c r="L26" s="9" t="n">
        <f aca="false">L10*sc_cac_a_R+L11*sc_cac_b_R+L14*sc_cac_s_R</f>
        <v>126039.409188</v>
      </c>
      <c r="M26" s="9" t="n">
        <f aca="false">M10*sc_cac_a_R+M11*sc_cac_b_R+M14*sc_cac_s_R</f>
        <v>134509.16522364</v>
      </c>
      <c r="N26" s="9" t="n">
        <f aca="false">N10*sc_cac_a_R+N11*sc_cac_b_R+N14*sc_cac_s_R</f>
        <v>131288.778515274</v>
      </c>
      <c r="O26" s="9" t="n">
        <f aca="false">O10*sc_cac_a_R+O11*sc_cac_b_R+O14*sc_cac_s_R</f>
        <v>131819.621424168</v>
      </c>
      <c r="P26" s="9" t="n">
        <f aca="false">P10*sc_cac_a_R+P11*sc_cac_b_R+P14*sc_cac_s_R</f>
        <v>158515.731846966</v>
      </c>
      <c r="Q26" s="9" t="n">
        <f aca="false">Q10*sc_cac_a_R+Q11*sc_cac_b_R+Q14*sc_cac_s_R</f>
        <v>118689.382700898</v>
      </c>
      <c r="R26" s="9" t="n">
        <f aca="false">R10*sc_cac_a_R+R11*sc_cac_b_R+R14*sc_cac_s_R</f>
        <v>132381.019748764</v>
      </c>
      <c r="S26" s="9" t="n">
        <f aca="false">S10*sc_cac_a_R+S11*sc_cac_b_R+S14*sc_cac_s_R</f>
        <v>151919.439363571</v>
      </c>
      <c r="T26" s="9" t="n">
        <f aca="false">T10*sc_cac_a_R+T11*sc_cac_b_R+T14*sc_cac_s_R</f>
        <v>177948.07691554</v>
      </c>
      <c r="U26" s="9" t="n">
        <f aca="false">U10*sc_cac_a_R+U11*sc_cac_b_R+U14*sc_cac_s_R</f>
        <v>195144.464285314</v>
      </c>
      <c r="V26" s="9" t="n">
        <f aca="false">V10*sc_cac_a_R+V11*sc_cac_b_R+V14*sc_cac_s_R</f>
        <v>185676.895866698</v>
      </c>
      <c r="W26" s="9" t="n">
        <f aca="false">W10*sc_cac_a_R+W11*sc_cac_b_R+W14*sc_cac_s_R</f>
        <v>169371.5835588</v>
      </c>
      <c r="X26" s="9" t="n">
        <f aca="false">X10*sc_cac_a_R+X11*sc_cac_b_R+X14*sc_cac_s_R</f>
        <v>193507.838943518</v>
      </c>
      <c r="Y26" s="9" t="n">
        <f aca="false">Y10*sc_cac_a_R+Y11*sc_cac_b_R+Y14*sc_cac_s_R</f>
        <v>206819.631760715</v>
      </c>
      <c r="Z26" s="9" t="n">
        <f aca="false">Z10*sc_cac_a_R+Z11*sc_cac_b_R+Z14*sc_cac_s_R</f>
        <v>201407.672620724</v>
      </c>
    </row>
    <row r="27" customFormat="false" ht="15" hidden="false" customHeight="false" outlineLevel="0" collapsed="false">
      <c r="A27" s="2" t="s">
        <v>386</v>
      </c>
      <c r="B27" s="11" t="n">
        <f aca="false">SUM(C27:Z27)</f>
        <v>5990400</v>
      </c>
      <c r="C27" s="9" t="n">
        <f aca="false">fix_base+fix_step_cost*INT(C23/fix_rev_step)</f>
        <v>179600</v>
      </c>
      <c r="D27" s="9" t="n">
        <f aca="false">fix_base+fix_step_cost*INT(D23/fix_rev_step)</f>
        <v>179600</v>
      </c>
      <c r="E27" s="9" t="n">
        <f aca="false">fix_base+fix_step_cost*INT(E23/fix_rev_step)</f>
        <v>179600</v>
      </c>
      <c r="F27" s="9" t="n">
        <f aca="false">fix_base+fix_step_cost*INT(F23/fix_rev_step)</f>
        <v>179600</v>
      </c>
      <c r="G27" s="9" t="n">
        <f aca="false">fix_base+fix_step_cost*INT(G23/fix_rev_step)</f>
        <v>179600</v>
      </c>
      <c r="H27" s="9" t="n">
        <f aca="false">fix_base+fix_step_cost*INT(H23/fix_rev_step)</f>
        <v>179600</v>
      </c>
      <c r="I27" s="9" t="n">
        <f aca="false">fix_base+fix_step_cost*INT(I23/fix_rev_step)</f>
        <v>249600</v>
      </c>
      <c r="J27" s="9" t="n">
        <f aca="false">fix_base+fix_step_cost*INT(J23/fix_rev_step)</f>
        <v>249600</v>
      </c>
      <c r="K27" s="9" t="n">
        <f aca="false">fix_base+fix_step_cost*INT(K23/fix_rev_step)</f>
        <v>249600</v>
      </c>
      <c r="L27" s="9" t="n">
        <f aca="false">fix_base+fix_step_cost*INT(L23/fix_rev_step)</f>
        <v>249600</v>
      </c>
      <c r="M27" s="9" t="n">
        <f aca="false">fix_base+fix_step_cost*INT(M23/fix_rev_step)</f>
        <v>249600</v>
      </c>
      <c r="N27" s="9" t="n">
        <f aca="false">fix_base+fix_step_cost*INT(N23/fix_rev_step)</f>
        <v>249600</v>
      </c>
      <c r="O27" s="9" t="n">
        <f aca="false">fix_base+fix_step_cost*INT(O23/fix_rev_step)</f>
        <v>249600</v>
      </c>
      <c r="P27" s="9" t="n">
        <f aca="false">fix_base+fix_step_cost*INT(P23/fix_rev_step)</f>
        <v>249600</v>
      </c>
      <c r="Q27" s="9" t="n">
        <f aca="false">fix_base+fix_step_cost*INT(Q23/fix_rev_step)</f>
        <v>249600</v>
      </c>
      <c r="R27" s="9" t="n">
        <f aca="false">fix_base+fix_step_cost*INT(R23/fix_rev_step)</f>
        <v>249600</v>
      </c>
      <c r="S27" s="9" t="n">
        <f aca="false">fix_base+fix_step_cost*INT(S23/fix_rev_step)</f>
        <v>249600</v>
      </c>
      <c r="T27" s="9" t="n">
        <f aca="false">fix_base+fix_step_cost*INT(T23/fix_rev_step)</f>
        <v>249600</v>
      </c>
      <c r="U27" s="9" t="n">
        <f aca="false">fix_base+fix_step_cost*INT(U23/fix_rev_step)</f>
        <v>319600</v>
      </c>
      <c r="V27" s="9" t="n">
        <f aca="false">fix_base+fix_step_cost*INT(V23/fix_rev_step)</f>
        <v>319600</v>
      </c>
      <c r="W27" s="9" t="n">
        <f aca="false">fix_base+fix_step_cost*INT(W23/fix_rev_step)</f>
        <v>319600</v>
      </c>
      <c r="X27" s="9" t="n">
        <f aca="false">fix_base+fix_step_cost*INT(X23/fix_rev_step)</f>
        <v>319600</v>
      </c>
      <c r="Y27" s="9" t="n">
        <f aca="false">fix_base+fix_step_cost*INT(Y23/fix_rev_step)</f>
        <v>319600</v>
      </c>
      <c r="Z27" s="9" t="n">
        <f aca="false">fix_base+fix_step_cost*INT(Z23/fix_rev_step)</f>
        <v>319600</v>
      </c>
    </row>
    <row r="28" customFormat="false" ht="15" hidden="false" customHeight="false" outlineLevel="0" collapsed="false">
      <c r="A28" s="2" t="s">
        <v>387</v>
      </c>
      <c r="C28" s="26" t="n">
        <f aca="false">IF(OR(SUMIFS($C$23:$Z$23,$C$4:$Z$4,C4-1)&gt;vat_threshold,SUMIFS($C$23:$Z$23,$C$4:$Z$4,C4,$C$3:$Z$3,"&lt;"&amp;C3)&gt;vat_threshold),1,0)</f>
        <v>0</v>
      </c>
      <c r="D28" s="26" t="n">
        <f aca="false">IF(OR(SUMIFS($C$23:$Z$23,$C$4:$Z$4,D4-1)&gt;vat_threshold,SUMIFS($C$23:$Z$23,$C$4:$Z$4,D4,$C$3:$Z$3,"&lt;"&amp;D3)&gt;vat_threshold),1,0)</f>
        <v>0</v>
      </c>
      <c r="E28" s="26" t="n">
        <f aca="false">IF(OR(SUMIFS($C$23:$Z$23,$C$4:$Z$4,E4-1)&gt;vat_threshold,SUMIFS($C$23:$Z$23,$C$4:$Z$4,E4,$C$3:$Z$3,"&lt;"&amp;E3)&gt;vat_threshold),1,0)</f>
        <v>0</v>
      </c>
      <c r="F28" s="26" t="n">
        <f aca="false">IF(OR(SUMIFS($C$23:$Z$23,$C$4:$Z$4,F4-1)&gt;vat_threshold,SUMIFS($C$23:$Z$23,$C$4:$Z$4,F4,$C$3:$Z$3,"&lt;"&amp;F3)&gt;vat_threshold),1,0)</f>
        <v>0</v>
      </c>
      <c r="G28" s="26" t="n">
        <f aca="false">IF(OR(SUMIFS($C$23:$Z$23,$C$4:$Z$4,G4-1)&gt;vat_threshold,SUMIFS($C$23:$Z$23,$C$4:$Z$4,G4,$C$3:$Z$3,"&lt;"&amp;G3)&gt;vat_threshold),1,0)</f>
        <v>0</v>
      </c>
      <c r="H28" s="26" t="n">
        <f aca="false">IF(OR(SUMIFS($C$23:$Z$23,$C$4:$Z$4,H4-1)&gt;vat_threshold,SUMIFS($C$23:$Z$23,$C$4:$Z$4,H4,$C$3:$Z$3,"&lt;"&amp;H3)&gt;vat_threshold),1,0)</f>
        <v>0</v>
      </c>
      <c r="I28" s="26" t="n">
        <f aca="false">IF(OR(SUMIFS($C$23:$Z$23,$C$4:$Z$4,I4-1)&gt;vat_threshold,SUMIFS($C$23:$Z$23,$C$4:$Z$4,I4,$C$3:$Z$3,"&lt;"&amp;I3)&gt;vat_threshold),1,0)</f>
        <v>0</v>
      </c>
      <c r="J28" s="26" t="n">
        <f aca="false">IF(OR(SUMIFS($C$23:$Z$23,$C$4:$Z$4,J4-1)&gt;vat_threshold,SUMIFS($C$23:$Z$23,$C$4:$Z$4,J4,$C$3:$Z$3,"&lt;"&amp;J3)&gt;vat_threshold),1,0)</f>
        <v>0</v>
      </c>
      <c r="K28" s="26" t="n">
        <f aca="false">IF(OR(SUMIFS($C$23:$Z$23,$C$4:$Z$4,K4-1)&gt;vat_threshold,SUMIFS($C$23:$Z$23,$C$4:$Z$4,K4,$C$3:$Z$3,"&lt;"&amp;K3)&gt;vat_threshold),1,0)</f>
        <v>0</v>
      </c>
      <c r="L28" s="26" t="n">
        <f aca="false">IF(OR(SUMIFS($C$23:$Z$23,$C$4:$Z$4,L4-1)&gt;vat_threshold,SUMIFS($C$23:$Z$23,$C$4:$Z$4,L4,$C$3:$Z$3,"&lt;"&amp;L3)&gt;vat_threshold),1,0)</f>
        <v>0</v>
      </c>
      <c r="M28" s="26" t="n">
        <f aca="false">IF(OR(SUMIFS($C$23:$Z$23,$C$4:$Z$4,M4-1)&gt;vat_threshold,SUMIFS($C$23:$Z$23,$C$4:$Z$4,M4,$C$3:$Z$3,"&lt;"&amp;M3)&gt;vat_threshold),1,0)</f>
        <v>0</v>
      </c>
      <c r="N28" s="26" t="n">
        <f aca="false">IF(OR(SUMIFS($C$23:$Z$23,$C$4:$Z$4,N4-1)&gt;vat_threshold,SUMIFS($C$23:$Z$23,$C$4:$Z$4,N4,$C$3:$Z$3,"&lt;"&amp;N3)&gt;vat_threshold),1,0)</f>
        <v>0</v>
      </c>
      <c r="O28" s="26" t="n">
        <f aca="false">IF(OR(SUMIFS($C$23:$Z$23,$C$4:$Z$4,O4-1)&gt;vat_threshold,SUMIFS($C$23:$Z$23,$C$4:$Z$4,O4,$C$3:$Z$3,"&lt;"&amp;O3)&gt;vat_threshold),1,0)</f>
        <v>0</v>
      </c>
      <c r="P28" s="26" t="n">
        <f aca="false">IF(OR(SUMIFS($C$23:$Z$23,$C$4:$Z$4,P4-1)&gt;vat_threshold,SUMIFS($C$23:$Z$23,$C$4:$Z$4,P4,$C$3:$Z$3,"&lt;"&amp;P3)&gt;vat_threshold),1,0)</f>
        <v>0</v>
      </c>
      <c r="Q28" s="26" t="n">
        <f aca="false">IF(OR(SUMIFS($C$23:$Z$23,$C$4:$Z$4,Q4-1)&gt;vat_threshold,SUMIFS($C$23:$Z$23,$C$4:$Z$4,Q4,$C$3:$Z$3,"&lt;"&amp;Q3)&gt;vat_threshold),1,0)</f>
        <v>0</v>
      </c>
      <c r="R28" s="26" t="n">
        <f aca="false">IF(OR(SUMIFS($C$23:$Z$23,$C$4:$Z$4,R4-1)&gt;vat_threshold,SUMIFS($C$23:$Z$23,$C$4:$Z$4,R4,$C$3:$Z$3,"&lt;"&amp;R3)&gt;vat_threshold),1,0)</f>
        <v>0</v>
      </c>
      <c r="S28" s="26" t="n">
        <f aca="false">IF(OR(SUMIFS($C$23:$Z$23,$C$4:$Z$4,S4-1)&gt;vat_threshold,SUMIFS($C$23:$Z$23,$C$4:$Z$4,S4,$C$3:$Z$3,"&lt;"&amp;S3)&gt;vat_threshold),1,0)</f>
        <v>0</v>
      </c>
      <c r="T28" s="26" t="n">
        <f aca="false">IF(OR(SUMIFS($C$23:$Z$23,$C$4:$Z$4,T4-1)&gt;vat_threshold,SUMIFS($C$23:$Z$23,$C$4:$Z$4,T4,$C$3:$Z$3,"&lt;"&amp;T3)&gt;vat_threshold),1,0)</f>
        <v>0</v>
      </c>
      <c r="U28" s="26" t="n">
        <f aca="false">IF(OR(SUMIFS($C$23:$Z$23,$C$4:$Z$4,U4-1)&gt;vat_threshold,SUMIFS($C$23:$Z$23,$C$4:$Z$4,U4,$C$3:$Z$3,"&lt;"&amp;U3)&gt;vat_threshold),1,0)</f>
        <v>0</v>
      </c>
      <c r="V28" s="26" t="n">
        <f aca="false">IF(OR(SUMIFS($C$23:$Z$23,$C$4:$Z$4,V4-1)&gt;vat_threshold,SUMIFS($C$23:$Z$23,$C$4:$Z$4,V4,$C$3:$Z$3,"&lt;"&amp;V3)&gt;vat_threshold),1,0)</f>
        <v>0</v>
      </c>
      <c r="W28" s="26" t="n">
        <f aca="false">IF(OR(SUMIFS($C$23:$Z$23,$C$4:$Z$4,W4-1)&gt;vat_threshold,SUMIFS($C$23:$Z$23,$C$4:$Z$4,W4,$C$3:$Z$3,"&lt;"&amp;W3)&gt;vat_threshold),1,0)</f>
        <v>0</v>
      </c>
      <c r="X28" s="26" t="n">
        <f aca="false">IF(OR(SUMIFS($C$23:$Z$23,$C$4:$Z$4,X4-1)&gt;vat_threshold,SUMIFS($C$23:$Z$23,$C$4:$Z$4,X4,$C$3:$Z$3,"&lt;"&amp;X3)&gt;vat_threshold),1,0)</f>
        <v>0</v>
      </c>
      <c r="Y28" s="26" t="n">
        <f aca="false">IF(OR(SUMIFS($C$23:$Z$23,$C$4:$Z$4,Y4-1)&gt;vat_threshold,SUMIFS($C$23:$Z$23,$C$4:$Z$4,Y4,$C$3:$Z$3,"&lt;"&amp;Y3)&gt;vat_threshold),1,0)</f>
        <v>1</v>
      </c>
      <c r="Z28" s="26" t="n">
        <f aca="false">IF(OR(SUMIFS($C$23:$Z$23,$C$4:$Z$4,Z4-1)&gt;vat_threshold,SUMIFS($C$23:$Z$23,$C$4:$Z$4,Z4,$C$3:$Z$3,"&lt;"&amp;Z3)&gt;vat_threshold),1,0)</f>
        <v>1</v>
      </c>
    </row>
    <row r="29" customFormat="false" ht="15" hidden="false" customHeight="false" outlineLevel="0" collapsed="false">
      <c r="A29" s="2" t="s">
        <v>388</v>
      </c>
      <c r="B29" s="11" t="n">
        <f aca="false">SUM(C29:Z29)</f>
        <v>336296.104592306</v>
      </c>
      <c r="C29" s="9" t="n">
        <f aca="false">C23*vat_rate/(1+vat_rate)*C28</f>
        <v>0</v>
      </c>
      <c r="D29" s="9" t="n">
        <f aca="false">D23*vat_rate/(1+vat_rate)*D28</f>
        <v>0</v>
      </c>
      <c r="E29" s="9" t="n">
        <f aca="false">E23*vat_rate/(1+vat_rate)*E28</f>
        <v>0</v>
      </c>
      <c r="F29" s="9" t="n">
        <f aca="false">F23*vat_rate/(1+vat_rate)*F28</f>
        <v>0</v>
      </c>
      <c r="G29" s="9" t="n">
        <f aca="false">G23*vat_rate/(1+vat_rate)*G28</f>
        <v>0</v>
      </c>
      <c r="H29" s="9" t="n">
        <f aca="false">H23*vat_rate/(1+vat_rate)*H28</f>
        <v>0</v>
      </c>
      <c r="I29" s="9" t="n">
        <f aca="false">I23*vat_rate/(1+vat_rate)*I28</f>
        <v>0</v>
      </c>
      <c r="J29" s="9" t="n">
        <f aca="false">J23*vat_rate/(1+vat_rate)*J28</f>
        <v>0</v>
      </c>
      <c r="K29" s="9" t="n">
        <f aca="false">K23*vat_rate/(1+vat_rate)*K28</f>
        <v>0</v>
      </c>
      <c r="L29" s="9" t="n">
        <f aca="false">L23*vat_rate/(1+vat_rate)*L28</f>
        <v>0</v>
      </c>
      <c r="M29" s="9" t="n">
        <f aca="false">M23*vat_rate/(1+vat_rate)*M28</f>
        <v>0</v>
      </c>
      <c r="N29" s="9" t="n">
        <f aca="false">N23*vat_rate/(1+vat_rate)*N28</f>
        <v>0</v>
      </c>
      <c r="O29" s="9" t="n">
        <f aca="false">O23*vat_rate/(1+vat_rate)*O28</f>
        <v>0</v>
      </c>
      <c r="P29" s="9" t="n">
        <f aca="false">P23*vat_rate/(1+vat_rate)*P28</f>
        <v>0</v>
      </c>
      <c r="Q29" s="9" t="n">
        <f aca="false">Q23*vat_rate/(1+vat_rate)*Q28</f>
        <v>0</v>
      </c>
      <c r="R29" s="9" t="n">
        <f aca="false">R23*vat_rate/(1+vat_rate)*R28</f>
        <v>0</v>
      </c>
      <c r="S29" s="9" t="n">
        <f aca="false">S23*vat_rate/(1+vat_rate)*S28</f>
        <v>0</v>
      </c>
      <c r="T29" s="9" t="n">
        <f aca="false">T23*vat_rate/(1+vat_rate)*T28</f>
        <v>0</v>
      </c>
      <c r="U29" s="9" t="n">
        <f aca="false">U23*vat_rate/(1+vat_rate)*U28</f>
        <v>0</v>
      </c>
      <c r="V29" s="9" t="n">
        <f aca="false">V23*vat_rate/(1+vat_rate)*V28</f>
        <v>0</v>
      </c>
      <c r="W29" s="9" t="n">
        <f aca="false">W23*vat_rate/(1+vat_rate)*W28</f>
        <v>0</v>
      </c>
      <c r="X29" s="9" t="n">
        <f aca="false">X23*vat_rate/(1+vat_rate)*X28</f>
        <v>0</v>
      </c>
      <c r="Y29" s="9" t="n">
        <f aca="false">Y23*vat_rate/(1+vat_rate)*Y28</f>
        <v>168420.821706301</v>
      </c>
      <c r="Z29" s="9" t="n">
        <f aca="false">Z23*vat_rate/(1+vat_rate)*Z28</f>
        <v>167875.282886005</v>
      </c>
    </row>
    <row r="30" customFormat="false" ht="15" hidden="false" customHeight="false" outlineLevel="0" collapsed="false">
      <c r="A30" s="2" t="s">
        <v>286</v>
      </c>
      <c r="B30" s="11" t="n">
        <f aca="false">SUM(C30:Z30)</f>
        <v>2927491.56140584</v>
      </c>
      <c r="C30" s="9" t="n">
        <f aca="false">(C23-C29)*usn_rate</f>
        <v>12925.404</v>
      </c>
      <c r="D30" s="9" t="n">
        <f aca="false">(D23-D29)*usn_rate</f>
        <v>26349.27264</v>
      </c>
      <c r="E30" s="9" t="n">
        <f aca="false">(E23-E29)*usn_rate</f>
        <v>26102.2233024</v>
      </c>
      <c r="F30" s="9" t="n">
        <f aca="false">(F23-F29)*usn_rate</f>
        <v>41563.332605184</v>
      </c>
      <c r="G30" s="9" t="n">
        <f aca="false">(G23-G29)*usn_rate</f>
        <v>57455.0670707174</v>
      </c>
      <c r="H30" s="9" t="n">
        <f aca="false">(H23-H29)*usn_rate</f>
        <v>77935.4808343529</v>
      </c>
      <c r="I30" s="9" t="n">
        <f aca="false">(I23-I29)*usn_rate</f>
        <v>93458.5997292611</v>
      </c>
      <c r="J30" s="9" t="n">
        <f aca="false">(J23-J29)*usn_rate</f>
        <v>94488.3407512276</v>
      </c>
      <c r="K30" s="9" t="n">
        <f aca="false">(K23-K29)*usn_rate</f>
        <v>92451.9844421451</v>
      </c>
      <c r="L30" s="9" t="n">
        <f aca="false">(L23-L29)*usn_rate</f>
        <v>109982.840863796</v>
      </c>
      <c r="M30" s="9" t="n">
        <f aca="false">(M23-M29)*usn_rate</f>
        <v>119576.697163933</v>
      </c>
      <c r="N30" s="9" t="n">
        <f aca="false">(N23-N29)*usn_rate</f>
        <v>121333.223849526</v>
      </c>
      <c r="O30" s="9" t="n">
        <f aca="false">(O23-O29)*usn_rate</f>
        <v>128668.897033415</v>
      </c>
      <c r="P30" s="9" t="n">
        <f aca="false">(P23-P29)*usn_rate</f>
        <v>149656.224202225</v>
      </c>
      <c r="Q30" s="9" t="n">
        <f aca="false">(Q23-Q29)*usn_rate</f>
        <v>127025.791155366</v>
      </c>
      <c r="R30" s="9" t="n">
        <f aca="false">(R23-R29)*usn_rate</f>
        <v>142563.675191047</v>
      </c>
      <c r="S30" s="9" t="n">
        <f aca="false">(S23-S29)*usn_rate</f>
        <v>158524.085170705</v>
      </c>
      <c r="T30" s="9" t="n">
        <f aca="false">(T23-T29)*usn_rate</f>
        <v>178642.467314613</v>
      </c>
      <c r="U30" s="9" t="n">
        <f aca="false">(U23-U29)*usn_rate</f>
        <v>192916.449820965</v>
      </c>
      <c r="V30" s="9" t="n">
        <f aca="false">(V23-V29)*usn_rate</f>
        <v>189702.362573679</v>
      </c>
      <c r="W30" s="9" t="n">
        <f aca="false">(W23-W29)*usn_rate</f>
        <v>181971.972051758</v>
      </c>
      <c r="X30" s="9" t="n">
        <f aca="false">(X23-X29)*usn_rate</f>
        <v>200641.844128757</v>
      </c>
      <c r="Y30" s="9" t="n">
        <f aca="false">(Y23-Y29)*usn_rate</f>
        <v>202104.986047561</v>
      </c>
      <c r="Z30" s="9" t="n">
        <f aca="false">(Z23-Z29)*usn_rate</f>
        <v>201450.339463206</v>
      </c>
    </row>
    <row r="31" customFormat="false" ht="15" hidden="false" customHeight="false" outlineLevel="0" collapsed="false">
      <c r="A31" s="10" t="s">
        <v>389</v>
      </c>
      <c r="B31" s="11" t="n">
        <f aca="false">SUM(C31:Z31)</f>
        <v>7072084.29340783</v>
      </c>
      <c r="C31" s="11" t="n">
        <f aca="false">C23-C29-C24-C26-C27-C30</f>
        <v>-128854.736</v>
      </c>
      <c r="D31" s="11" t="n">
        <f aca="false">D23-D29-D24-D26-D27-D30</f>
        <v>-69339.82976</v>
      </c>
      <c r="E31" s="11" t="n">
        <f aca="false">E23-E29-E24-E26-E27-E30</f>
        <v>-74841.4418816</v>
      </c>
      <c r="F31" s="11" t="n">
        <f aca="false">F23-F29-F24-F26-F27-F30</f>
        <v>-6393.1817122561</v>
      </c>
      <c r="G31" s="11" t="n">
        <f aca="false">G23-G29-G24-G26-G27-G30</f>
        <v>65884.235041847</v>
      </c>
      <c r="H31" s="11" t="n">
        <f aca="false">H23-H29-H24-H26-H27-H30</f>
        <v>160367.430688081</v>
      </c>
      <c r="I31" s="11" t="n">
        <f aca="false">I23-I29-I24-I26-I27-I30</f>
        <v>164277.005646154</v>
      </c>
      <c r="J31" s="11" t="n">
        <f aca="false">J23-J29-J24-J26-J27-J30</f>
        <v>170210.9398196</v>
      </c>
      <c r="K31" s="11" t="n">
        <f aca="false">K23-K29-K24-K26-K27-K30</f>
        <v>161342.501133884</v>
      </c>
      <c r="L31" s="11" t="n">
        <f aca="false">L23-L29-L24-L26-L27-L30</f>
        <v>244425.822133384</v>
      </c>
      <c r="M31" s="11" t="n">
        <f aca="false">M23-M29-M24-M26-M27-M30</f>
        <v>290916.848373047</v>
      </c>
      <c r="N31" s="11" t="n">
        <f aca="false">N23-N29-N24-N26-N27-N30</f>
        <v>299822.303350476</v>
      </c>
      <c r="O31" s="11" t="n">
        <f aca="false">O23-O29-O24-O26-O27-O30</f>
        <v>333822.807223154</v>
      </c>
      <c r="P31" s="11" t="n">
        <f aca="false">P23-P29-P24-P26-P27-P30</f>
        <v>434483.004326891</v>
      </c>
      <c r="Q31" s="11" t="n">
        <f aca="false">Q23-Q29-Q24-Q26-Q27-Q30</f>
        <v>326494.915553266</v>
      </c>
      <c r="R31" s="11" t="n">
        <f aca="false">R23-R29-R24-R26-R27-R30</f>
        <v>399448.617953842</v>
      </c>
      <c r="S31" s="11" t="n">
        <f aca="false">S23-S29-S24-S26-S27-S30</f>
        <v>475824.948067878</v>
      </c>
      <c r="T31" s="11" t="n">
        <f aca="false">T23-T29-T24-T26-T27-T30</f>
        <v>572010.985105083</v>
      </c>
      <c r="U31" s="11" t="n">
        <f aca="false">U23-U29-U24-U26-U27-U30</f>
        <v>570184.508503693</v>
      </c>
      <c r="V31" s="11" t="n">
        <f aca="false">V23-V29-V24-V26-V27-V30</f>
        <v>554674.90997981</v>
      </c>
      <c r="W31" s="11" t="n">
        <f aca="false">W23-W29-W24-W26-W27-W30</f>
        <v>517510.734441618</v>
      </c>
      <c r="X31" s="11" t="n">
        <f aca="false">X23-X29-X24-X26-X27-X30</f>
        <v>606523.829852265</v>
      </c>
      <c r="Y31" s="11" t="n">
        <f aca="false">Y23-Y29-Y24-Y26-Y27-Y30</f>
        <v>503211.707572577</v>
      </c>
      <c r="Z31" s="11" t="n">
        <f aca="false">Z23-Z29-Z24-Z26-Z27-Z30</f>
        <v>500075.427995136</v>
      </c>
    </row>
    <row r="32" customFormat="false" ht="15" hidden="false" customHeight="false" outlineLevel="0" collapsed="false">
      <c r="A32" s="2" t="s">
        <v>390</v>
      </c>
      <c r="B32" s="29" t="n">
        <f aca="false">IF(B23=0,0,B31/B23)</f>
        <v>0.143952733646091</v>
      </c>
      <c r="C32" s="24" t="n">
        <f aca="false">IF(C23=0,0,C31/C23)</f>
        <v>-0.598146422347805</v>
      </c>
      <c r="D32" s="24" t="n">
        <f aca="false">IF(D23=0,0,D31/D23)</f>
        <v>-0.157893913901982</v>
      </c>
      <c r="E32" s="24" t="n">
        <f aca="false">IF(E23=0,0,E31/E23)</f>
        <v>-0.172034637083314</v>
      </c>
      <c r="F32" s="24" t="n">
        <f aca="false">IF(F23=0,0,F31/F23)</f>
        <v>-0.0092290699203346</v>
      </c>
      <c r="G32" s="24" t="n">
        <f aca="false">IF(G23=0,0,G31/G23)</f>
        <v>0.0688025322056501</v>
      </c>
      <c r="H32" s="24" t="n">
        <f aca="false">IF(H23=0,0,H31/H23)</f>
        <v>0.123461685720987</v>
      </c>
      <c r="I32" s="24" t="n">
        <f aca="false">IF(I23=0,0,I31/I23)</f>
        <v>0.105465097565368</v>
      </c>
      <c r="J32" s="24" t="n">
        <f aca="false">IF(J23=0,0,J31/J23)</f>
        <v>0.108083773172229</v>
      </c>
      <c r="K32" s="24" t="n">
        <f aca="false">IF(K23=0,0,K31/K23)</f>
        <v>0.104708948395704</v>
      </c>
      <c r="L32" s="24" t="n">
        <f aca="false">IF(L23=0,0,L31/L23)</f>
        <v>0.133343976322316</v>
      </c>
      <c r="M32" s="24" t="n">
        <f aca="false">IF(M23=0,0,M31/M23)</f>
        <v>0.145973348623712</v>
      </c>
      <c r="N32" s="24" t="n">
        <f aca="false">IF(N23=0,0,N31/N23)</f>
        <v>0.148263910166422</v>
      </c>
      <c r="O32" s="24" t="n">
        <f aca="false">IF(O23=0,0,O31/O23)</f>
        <v>0.155665968195777</v>
      </c>
      <c r="P32" s="24" t="n">
        <f aca="false">IF(P23=0,0,P31/P23)</f>
        <v>0.17419242265786</v>
      </c>
      <c r="Q32" s="24" t="n">
        <f aca="false">IF(Q23=0,0,Q31/Q23)</f>
        <v>0.154218247766989</v>
      </c>
      <c r="R32" s="24" t="n">
        <f aca="false">IF(R23=0,0,R31/R23)</f>
        <v>0.168113771233191</v>
      </c>
      <c r="S32" s="24" t="n">
        <f aca="false">IF(S23=0,0,S31/S23)</f>
        <v>0.18009564195453</v>
      </c>
      <c r="T32" s="24" t="n">
        <f aca="false">IF(T23=0,0,T31/T23)</f>
        <v>0.192119262693914</v>
      </c>
      <c r="U32" s="24" t="n">
        <f aca="false">IF(U23=0,0,U31/U23)</f>
        <v>0.177336201977441</v>
      </c>
      <c r="V32" s="24" t="n">
        <f aca="false">IF(V23=0,0,V31/V23)</f>
        <v>0.175435319556776</v>
      </c>
      <c r="W32" s="24" t="n">
        <f aca="false">IF(W23=0,0,W31/W23)</f>
        <v>0.170634212051432</v>
      </c>
      <c r="X32" s="24" t="n">
        <f aca="false">IF(X23=0,0,X31/X23)</f>
        <v>0.181375076316497</v>
      </c>
      <c r="Y32" s="24" t="n">
        <f aca="false">IF(Y23=0,0,Y31/Y23)</f>
        <v>0.142277314779686</v>
      </c>
      <c r="Z32" s="24" t="n">
        <f aca="false">IF(Z23=0,0,Z31/Z23)</f>
        <v>0.141850040157408</v>
      </c>
    </row>
    <row r="34" customFormat="false" ht="15" hidden="false" customHeight="false" outlineLevel="0" collapsed="false">
      <c r="A34" s="13" t="s">
        <v>391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customFormat="false" ht="15" hidden="false" customHeight="false" outlineLevel="0" collapsed="false">
      <c r="A35" s="2" t="s">
        <v>392</v>
      </c>
      <c r="B35" s="11" t="n">
        <f aca="false">SUM(C35:Z35)</f>
        <v>335000</v>
      </c>
      <c r="C35" s="9" t="n">
        <f aca="false">IF(C3=sc_capex2_month_R,capex2_total,0)</f>
        <v>0</v>
      </c>
      <c r="D35" s="9" t="n">
        <f aca="false">IF(D3=sc_capex2_month_R,capex2_total,0)</f>
        <v>0</v>
      </c>
      <c r="E35" s="9" t="n">
        <f aca="false">IF(E3=sc_capex2_month_R,capex2_total,0)</f>
        <v>0</v>
      </c>
      <c r="F35" s="9" t="n">
        <f aca="false">IF(F3=sc_capex2_month_R,capex2_total,0)</f>
        <v>0</v>
      </c>
      <c r="G35" s="9" t="n">
        <f aca="false">IF(G3=sc_capex2_month_R,capex2_total,0)</f>
        <v>0</v>
      </c>
      <c r="H35" s="9" t="n">
        <f aca="false">IF(H3=sc_capex2_month_R,capex2_total,0)</f>
        <v>335000</v>
      </c>
      <c r="I35" s="9" t="n">
        <f aca="false">IF(I3=sc_capex2_month_R,capex2_total,0)</f>
        <v>0</v>
      </c>
      <c r="J35" s="9" t="n">
        <f aca="false">IF(J3=sc_capex2_month_R,capex2_total,0)</f>
        <v>0</v>
      </c>
      <c r="K35" s="9" t="n">
        <f aca="false">IF(K3=sc_capex2_month_R,capex2_total,0)</f>
        <v>0</v>
      </c>
      <c r="L35" s="9" t="n">
        <f aca="false">IF(L3=sc_capex2_month_R,capex2_total,0)</f>
        <v>0</v>
      </c>
      <c r="M35" s="9" t="n">
        <f aca="false">IF(M3=sc_capex2_month_R,capex2_total,0)</f>
        <v>0</v>
      </c>
      <c r="N35" s="9" t="n">
        <f aca="false">IF(N3=sc_capex2_month_R,capex2_total,0)</f>
        <v>0</v>
      </c>
      <c r="O35" s="9" t="n">
        <f aca="false">IF(O3=sc_capex2_month_R,capex2_total,0)</f>
        <v>0</v>
      </c>
      <c r="P35" s="9" t="n">
        <f aca="false">IF(P3=sc_capex2_month_R,capex2_total,0)</f>
        <v>0</v>
      </c>
      <c r="Q35" s="9" t="n">
        <f aca="false">IF(Q3=sc_capex2_month_R,capex2_total,0)</f>
        <v>0</v>
      </c>
      <c r="R35" s="9" t="n">
        <f aca="false">IF(R3=sc_capex2_month_R,capex2_total,0)</f>
        <v>0</v>
      </c>
      <c r="S35" s="9" t="n">
        <f aca="false">IF(S3=sc_capex2_month_R,capex2_total,0)</f>
        <v>0</v>
      </c>
      <c r="T35" s="9" t="n">
        <f aca="false">IF(T3=sc_capex2_month_R,capex2_total,0)</f>
        <v>0</v>
      </c>
      <c r="U35" s="9" t="n">
        <f aca="false">IF(U3=sc_capex2_month_R,capex2_total,0)</f>
        <v>0</v>
      </c>
      <c r="V35" s="9" t="n">
        <f aca="false">IF(V3=sc_capex2_month_R,capex2_total,0)</f>
        <v>0</v>
      </c>
      <c r="W35" s="9" t="n">
        <f aca="false">IF(W3=sc_capex2_month_R,capex2_total,0)</f>
        <v>0</v>
      </c>
      <c r="X35" s="9" t="n">
        <f aca="false">IF(X3=sc_capex2_month_R,capex2_total,0)</f>
        <v>0</v>
      </c>
      <c r="Y35" s="9" t="n">
        <f aca="false">IF(Y3=sc_capex2_month_R,capex2_total,0)</f>
        <v>0</v>
      </c>
      <c r="Z35" s="9" t="n">
        <f aca="false">IF(Z3=sc_capex2_month_R,capex2_total,0)</f>
        <v>0</v>
      </c>
    </row>
    <row r="36" customFormat="false" ht="15" hidden="false" customHeight="false" outlineLevel="0" collapsed="false">
      <c r="A36" s="10" t="s">
        <v>393</v>
      </c>
      <c r="B36" s="11" t="n">
        <f aca="false">SUM(C36:Z36)</f>
        <v>6737084.29340783</v>
      </c>
      <c r="C36" s="11" t="n">
        <f aca="false">C31-C35</f>
        <v>-128854.736</v>
      </c>
      <c r="D36" s="11" t="n">
        <f aca="false">D31-D35</f>
        <v>-69339.82976</v>
      </c>
      <c r="E36" s="11" t="n">
        <f aca="false">E31-E35</f>
        <v>-74841.4418816</v>
      </c>
      <c r="F36" s="11" t="n">
        <f aca="false">F31-F35</f>
        <v>-6393.1817122561</v>
      </c>
      <c r="G36" s="11" t="n">
        <f aca="false">G31-G35</f>
        <v>65884.235041847</v>
      </c>
      <c r="H36" s="11" t="n">
        <f aca="false">H31-H35</f>
        <v>-174632.569311919</v>
      </c>
      <c r="I36" s="11" t="n">
        <f aca="false">I31-I35</f>
        <v>164277.005646154</v>
      </c>
      <c r="J36" s="11" t="n">
        <f aca="false">J31-J35</f>
        <v>170210.9398196</v>
      </c>
      <c r="K36" s="11" t="n">
        <f aca="false">K31-K35</f>
        <v>161342.501133884</v>
      </c>
      <c r="L36" s="11" t="n">
        <f aca="false">L31-L35</f>
        <v>244425.822133384</v>
      </c>
      <c r="M36" s="11" t="n">
        <f aca="false">M31-M35</f>
        <v>290916.848373047</v>
      </c>
      <c r="N36" s="11" t="n">
        <f aca="false">N31-N35</f>
        <v>299822.303350476</v>
      </c>
      <c r="O36" s="11" t="n">
        <f aca="false">O31-O35</f>
        <v>333822.807223154</v>
      </c>
      <c r="P36" s="11" t="n">
        <f aca="false">P31-P35</f>
        <v>434483.004326891</v>
      </c>
      <c r="Q36" s="11" t="n">
        <f aca="false">Q31-Q35</f>
        <v>326494.915553266</v>
      </c>
      <c r="R36" s="11" t="n">
        <f aca="false">R31-R35</f>
        <v>399448.617953842</v>
      </c>
      <c r="S36" s="11" t="n">
        <f aca="false">S31-S35</f>
        <v>475824.948067878</v>
      </c>
      <c r="T36" s="11" t="n">
        <f aca="false">T31-T35</f>
        <v>572010.985105083</v>
      </c>
      <c r="U36" s="11" t="n">
        <f aca="false">U31-U35</f>
        <v>570184.508503693</v>
      </c>
      <c r="V36" s="11" t="n">
        <f aca="false">V31-V35</f>
        <v>554674.90997981</v>
      </c>
      <c r="W36" s="11" t="n">
        <f aca="false">W31-W35</f>
        <v>517510.734441618</v>
      </c>
      <c r="X36" s="11" t="n">
        <f aca="false">X31-X35</f>
        <v>606523.829852265</v>
      </c>
      <c r="Y36" s="11" t="n">
        <f aca="false">Y31-Y35</f>
        <v>503211.707572577</v>
      </c>
      <c r="Z36" s="11" t="n">
        <f aca="false">Z31-Z35</f>
        <v>500075.427995136</v>
      </c>
    </row>
    <row r="37" customFormat="false" ht="15" hidden="false" customHeight="false" outlineLevel="0" collapsed="false">
      <c r="A37" s="2" t="s">
        <v>394</v>
      </c>
      <c r="C37" s="9" t="n">
        <f aca="false">C36</f>
        <v>-128854.736</v>
      </c>
      <c r="D37" s="9" t="n">
        <f aca="false">C37+D36</f>
        <v>-198194.56576</v>
      </c>
      <c r="E37" s="9" t="n">
        <f aca="false">D37+E36</f>
        <v>-273036.0076416</v>
      </c>
      <c r="F37" s="9" t="n">
        <f aca="false">E37+F36</f>
        <v>-279429.189353856</v>
      </c>
      <c r="G37" s="9" t="n">
        <f aca="false">F37+G36</f>
        <v>-213544.954312009</v>
      </c>
      <c r="H37" s="9" t="n">
        <f aca="false">G37+H36</f>
        <v>-388177.523623928</v>
      </c>
      <c r="I37" s="9" t="n">
        <f aca="false">H37+I36</f>
        <v>-223900.517977775</v>
      </c>
      <c r="J37" s="9" t="n">
        <f aca="false">I37+J36</f>
        <v>-53689.5781581751</v>
      </c>
      <c r="K37" s="9" t="n">
        <f aca="false">J37+K36</f>
        <v>107652.922975709</v>
      </c>
      <c r="L37" s="9" t="n">
        <f aca="false">K37+L36</f>
        <v>352078.745109092</v>
      </c>
      <c r="M37" s="9" t="n">
        <f aca="false">L37+M36</f>
        <v>642995.59348214</v>
      </c>
      <c r="N37" s="9" t="n">
        <f aca="false">M37+N36</f>
        <v>942817.896832615</v>
      </c>
      <c r="O37" s="9" t="n">
        <f aca="false">N37+O36</f>
        <v>1276640.70405577</v>
      </c>
      <c r="P37" s="9" t="n">
        <f aca="false">O37+P36</f>
        <v>1711123.70838266</v>
      </c>
      <c r="Q37" s="9" t="n">
        <f aca="false">P37+Q36</f>
        <v>2037618.62393593</v>
      </c>
      <c r="R37" s="9" t="n">
        <f aca="false">Q37+R36</f>
        <v>2437067.24188977</v>
      </c>
      <c r="S37" s="9" t="n">
        <f aca="false">R37+S36</f>
        <v>2912892.18995765</v>
      </c>
      <c r="T37" s="9" t="n">
        <f aca="false">S37+T36</f>
        <v>3484903.17506273</v>
      </c>
      <c r="U37" s="9" t="n">
        <f aca="false">T37+U36</f>
        <v>4055087.68356642</v>
      </c>
      <c r="V37" s="9" t="n">
        <f aca="false">U37+V36</f>
        <v>4609762.59354623</v>
      </c>
      <c r="W37" s="9" t="n">
        <f aca="false">V37+W36</f>
        <v>5127273.32798785</v>
      </c>
      <c r="X37" s="9" t="n">
        <f aca="false">W37+X36</f>
        <v>5733797.15784012</v>
      </c>
      <c r="Y37" s="9" t="n">
        <f aca="false">X37+Y36</f>
        <v>6237008.86541269</v>
      </c>
      <c r="Z37" s="9" t="n">
        <f aca="false">Y37+Z36</f>
        <v>6737084.29340783</v>
      </c>
    </row>
    <row r="38" customFormat="false" ht="15" hidden="false" customHeight="false" outlineLevel="0" collapsed="false">
      <c r="A38" s="10" t="s">
        <v>395</v>
      </c>
      <c r="C38" s="11" t="n">
        <f aca="false">-(capex_base+prelaunch_total)+C36</f>
        <v>-702854.736</v>
      </c>
      <c r="D38" s="11" t="n">
        <f aca="false">C38+D36</f>
        <v>-772194.56576</v>
      </c>
      <c r="E38" s="11" t="n">
        <f aca="false">D38+E36</f>
        <v>-847036.0076416</v>
      </c>
      <c r="F38" s="11" t="n">
        <f aca="false">E38+F36</f>
        <v>-853429.189353856</v>
      </c>
      <c r="G38" s="11" t="n">
        <f aca="false">F38+G36</f>
        <v>-787544.954312009</v>
      </c>
      <c r="H38" s="11" t="n">
        <f aca="false">G38+H36</f>
        <v>-962177.523623928</v>
      </c>
      <c r="I38" s="11" t="n">
        <f aca="false">H38+I36</f>
        <v>-797900.517977775</v>
      </c>
      <c r="J38" s="11" t="n">
        <f aca="false">I38+J36</f>
        <v>-627689.578158175</v>
      </c>
      <c r="K38" s="11" t="n">
        <f aca="false">J38+K36</f>
        <v>-466347.077024291</v>
      </c>
      <c r="L38" s="11" t="n">
        <f aca="false">K38+L36</f>
        <v>-221921.254890908</v>
      </c>
      <c r="M38" s="11" t="n">
        <f aca="false">L38+M36</f>
        <v>68995.5934821396</v>
      </c>
      <c r="N38" s="11" t="n">
        <f aca="false">M38+N36</f>
        <v>368817.896832615</v>
      </c>
      <c r="O38" s="11" t="n">
        <f aca="false">N38+O36</f>
        <v>702640.704055769</v>
      </c>
      <c r="P38" s="11" t="n">
        <f aca="false">O38+P36</f>
        <v>1137123.70838266</v>
      </c>
      <c r="Q38" s="11" t="n">
        <f aca="false">P38+Q36</f>
        <v>1463618.62393593</v>
      </c>
      <c r="R38" s="11" t="n">
        <f aca="false">Q38+R36</f>
        <v>1863067.24188977</v>
      </c>
      <c r="S38" s="11" t="n">
        <f aca="false">R38+S36</f>
        <v>2338892.18995765</v>
      </c>
      <c r="T38" s="11" t="n">
        <f aca="false">S38+T36</f>
        <v>2910903.17506273</v>
      </c>
      <c r="U38" s="11" t="n">
        <f aca="false">T38+U36</f>
        <v>3481087.68356642</v>
      </c>
      <c r="V38" s="11" t="n">
        <f aca="false">U38+V36</f>
        <v>4035762.59354623</v>
      </c>
      <c r="W38" s="11" t="n">
        <f aca="false">V38+W36</f>
        <v>4553273.32798785</v>
      </c>
      <c r="X38" s="11" t="n">
        <f aca="false">W38+X36</f>
        <v>5159797.15784012</v>
      </c>
      <c r="Y38" s="11" t="n">
        <f aca="false">X38+Y36</f>
        <v>5663008.86541269</v>
      </c>
      <c r="Z38" s="11" t="n">
        <f aca="false">Y38+Z36</f>
        <v>6163084.29340783</v>
      </c>
    </row>
    <row r="39" customFormat="false" ht="15" hidden="false" customHeight="false" outlineLevel="0" collapsed="false">
      <c r="A39" s="2" t="s">
        <v>396</v>
      </c>
      <c r="C39" s="26" t="str">
        <f aca="false">IF(COUNTIF(C31:$Z$31,"&lt;0")=0,C3,"")</f>
        <v/>
      </c>
      <c r="D39" s="26" t="str">
        <f aca="false">IF(COUNTIF(D31:$Z$31,"&lt;0")=0,D3,"")</f>
        <v/>
      </c>
      <c r="E39" s="26" t="str">
        <f aca="false">IF(COUNTIF(E31:$Z$31,"&lt;0")=0,E3,"")</f>
        <v/>
      </c>
      <c r="F39" s="26" t="str">
        <f aca="false">IF(COUNTIF(F31:$Z$31,"&lt;0")=0,F3,"")</f>
        <v/>
      </c>
      <c r="G39" s="26" t="n">
        <f aca="false">IF(COUNTIF(G31:$Z$31,"&lt;0")=0,G3,"")</f>
        <v>5</v>
      </c>
      <c r="H39" s="26" t="n">
        <f aca="false">IF(COUNTIF(H31:$Z$31,"&lt;0")=0,H3,"")</f>
        <v>6</v>
      </c>
      <c r="I39" s="26" t="n">
        <f aca="false">IF(COUNTIF(I31:$Z$31,"&lt;0")=0,I3,"")</f>
        <v>7</v>
      </c>
      <c r="J39" s="26" t="n">
        <f aca="false">IF(COUNTIF(J31:$Z$31,"&lt;0")=0,J3,"")</f>
        <v>8</v>
      </c>
      <c r="K39" s="26" t="n">
        <f aca="false">IF(COUNTIF(K31:$Z$31,"&lt;0")=0,K3,"")</f>
        <v>9</v>
      </c>
      <c r="L39" s="26" t="n">
        <f aca="false">IF(COUNTIF(L31:$Z$31,"&lt;0")=0,L3,"")</f>
        <v>10</v>
      </c>
      <c r="M39" s="26" t="n">
        <f aca="false">IF(COUNTIF(M31:$Z$31,"&lt;0")=0,M3,"")</f>
        <v>11</v>
      </c>
      <c r="N39" s="26" t="n">
        <f aca="false">IF(COUNTIF(N31:$Z$31,"&lt;0")=0,N3,"")</f>
        <v>12</v>
      </c>
      <c r="O39" s="26" t="n">
        <f aca="false">IF(COUNTIF(O31:$Z$31,"&lt;0")=0,O3,"")</f>
        <v>13</v>
      </c>
      <c r="P39" s="26" t="n">
        <f aca="false">IF(COUNTIF(P31:$Z$31,"&lt;0")=0,P3,"")</f>
        <v>14</v>
      </c>
      <c r="Q39" s="26" t="n">
        <f aca="false">IF(COUNTIF(Q31:$Z$31,"&lt;0")=0,Q3,"")</f>
        <v>15</v>
      </c>
      <c r="R39" s="26" t="n">
        <f aca="false">IF(COUNTIF(R31:$Z$31,"&lt;0")=0,R3,"")</f>
        <v>16</v>
      </c>
      <c r="S39" s="26" t="n">
        <f aca="false">IF(COUNTIF(S31:$Z$31,"&lt;0")=0,S3,"")</f>
        <v>17</v>
      </c>
      <c r="T39" s="26" t="n">
        <f aca="false">IF(COUNTIF(T31:$Z$31,"&lt;0")=0,T3,"")</f>
        <v>18</v>
      </c>
      <c r="U39" s="26" t="n">
        <f aca="false">IF(COUNTIF(U31:$Z$31,"&lt;0")=0,U3,"")</f>
        <v>19</v>
      </c>
      <c r="V39" s="26" t="n">
        <f aca="false">IF(COUNTIF(V31:$Z$31,"&lt;0")=0,V3,"")</f>
        <v>20</v>
      </c>
      <c r="W39" s="26" t="n">
        <f aca="false">IF(COUNTIF(W31:$Z$31,"&lt;0")=0,W3,"")</f>
        <v>21</v>
      </c>
      <c r="X39" s="26" t="n">
        <f aca="false">IF(COUNTIF(X31:$Z$31,"&lt;0")=0,X3,"")</f>
        <v>22</v>
      </c>
      <c r="Y39" s="26" t="n">
        <f aca="false">IF(COUNTIF(Y31:$Z$31,"&lt;0")=0,Y3,"")</f>
        <v>23</v>
      </c>
      <c r="Z39" s="26" t="n">
        <f aca="false">IF(COUNTIF(Z31:$Z$31,"&lt;0")=0,Z3,"")</f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5"/>
    <col collapsed="false" customWidth="true" hidden="false" outlineLevel="0" max="26" min="3" style="0" width="12"/>
  </cols>
  <sheetData>
    <row r="1" customFormat="false" ht="17.35" hidden="false" customHeight="false" outlineLevel="0" collapsed="false">
      <c r="A1" s="1" t="s">
        <v>398</v>
      </c>
    </row>
    <row r="2" customFormat="false" ht="30" hidden="false" customHeight="true" outlineLevel="0" collapsed="false">
      <c r="A2" s="3" t="s">
        <v>20</v>
      </c>
      <c r="B2" s="3" t="s">
        <v>340</v>
      </c>
      <c r="C2" s="3" t="s">
        <v>341</v>
      </c>
      <c r="D2" s="3" t="s">
        <v>342</v>
      </c>
      <c r="E2" s="3" t="s">
        <v>343</v>
      </c>
      <c r="F2" s="3" t="s">
        <v>344</v>
      </c>
      <c r="G2" s="3" t="s">
        <v>345</v>
      </c>
      <c r="H2" s="3" t="s">
        <v>346</v>
      </c>
      <c r="I2" s="3" t="s">
        <v>347</v>
      </c>
      <c r="J2" s="3" t="s">
        <v>348</v>
      </c>
      <c r="K2" s="3" t="s">
        <v>349</v>
      </c>
      <c r="L2" s="3" t="s">
        <v>350</v>
      </c>
      <c r="M2" s="3" t="s">
        <v>351</v>
      </c>
      <c r="N2" s="3" t="s">
        <v>352</v>
      </c>
      <c r="O2" s="3" t="s">
        <v>353</v>
      </c>
      <c r="P2" s="3" t="s">
        <v>354</v>
      </c>
      <c r="Q2" s="3" t="s">
        <v>355</v>
      </c>
      <c r="R2" s="3" t="s">
        <v>356</v>
      </c>
      <c r="S2" s="3" t="s">
        <v>357</v>
      </c>
      <c r="T2" s="3" t="s">
        <v>358</v>
      </c>
      <c r="U2" s="3" t="s">
        <v>359</v>
      </c>
      <c r="V2" s="3" t="s">
        <v>360</v>
      </c>
      <c r="W2" s="3" t="s">
        <v>361</v>
      </c>
      <c r="X2" s="3" t="s">
        <v>362</v>
      </c>
      <c r="Y2" s="3" t="s">
        <v>363</v>
      </c>
      <c r="Z2" s="3" t="s">
        <v>364</v>
      </c>
    </row>
    <row r="3" customFormat="false" ht="15" hidden="false" customHeight="false" outlineLevel="0" collapsed="false">
      <c r="A3" s="10" t="s">
        <v>365</v>
      </c>
      <c r="C3" s="25" t="n">
        <v>1</v>
      </c>
      <c r="D3" s="25" t="n">
        <v>2</v>
      </c>
      <c r="E3" s="25" t="n">
        <v>3</v>
      </c>
      <c r="F3" s="25" t="n">
        <v>4</v>
      </c>
      <c r="G3" s="25" t="n">
        <v>5</v>
      </c>
      <c r="H3" s="25" t="n">
        <v>6</v>
      </c>
      <c r="I3" s="25" t="n">
        <v>7</v>
      </c>
      <c r="J3" s="25" t="n">
        <v>8</v>
      </c>
      <c r="K3" s="25" t="n">
        <v>9</v>
      </c>
      <c r="L3" s="25" t="n">
        <v>10</v>
      </c>
      <c r="M3" s="25" t="n">
        <v>11</v>
      </c>
      <c r="N3" s="25" t="n">
        <v>12</v>
      </c>
      <c r="O3" s="25" t="n">
        <v>13</v>
      </c>
      <c r="P3" s="25" t="n">
        <v>14</v>
      </c>
      <c r="Q3" s="25" t="n">
        <v>15</v>
      </c>
      <c r="R3" s="25" t="n">
        <v>16</v>
      </c>
      <c r="S3" s="25" t="n">
        <v>17</v>
      </c>
      <c r="T3" s="25" t="n">
        <v>18</v>
      </c>
      <c r="U3" s="25" t="n">
        <v>19</v>
      </c>
      <c r="V3" s="25" t="n">
        <v>20</v>
      </c>
      <c r="W3" s="25" t="n">
        <v>21</v>
      </c>
      <c r="X3" s="25" t="n">
        <v>22</v>
      </c>
      <c r="Y3" s="25" t="n">
        <v>23</v>
      </c>
      <c r="Z3" s="25" t="n">
        <v>24</v>
      </c>
    </row>
    <row r="4" customFormat="false" ht="15" hidden="false" customHeight="false" outlineLevel="0" collapsed="false">
      <c r="A4" s="2" t="s">
        <v>366</v>
      </c>
      <c r="C4" s="26" t="n">
        <f aca="false">start_year+INT((start_month-1+C3-1)/12)</f>
        <v>2026</v>
      </c>
      <c r="D4" s="26" t="n">
        <f aca="false">start_year+INT((start_month-1+D3-1)/12)</f>
        <v>2026</v>
      </c>
      <c r="E4" s="26" t="n">
        <f aca="false">start_year+INT((start_month-1+E3-1)/12)</f>
        <v>2027</v>
      </c>
      <c r="F4" s="26" t="n">
        <f aca="false">start_year+INT((start_month-1+F3-1)/12)</f>
        <v>2027</v>
      </c>
      <c r="G4" s="26" t="n">
        <f aca="false">start_year+INT((start_month-1+G3-1)/12)</f>
        <v>2027</v>
      </c>
      <c r="H4" s="26" t="n">
        <f aca="false">start_year+INT((start_month-1+H3-1)/12)</f>
        <v>2027</v>
      </c>
      <c r="I4" s="26" t="n">
        <f aca="false">start_year+INT((start_month-1+I3-1)/12)</f>
        <v>2027</v>
      </c>
      <c r="J4" s="26" t="n">
        <f aca="false">start_year+INT((start_month-1+J3-1)/12)</f>
        <v>2027</v>
      </c>
      <c r="K4" s="26" t="n">
        <f aca="false">start_year+INT((start_month-1+K3-1)/12)</f>
        <v>2027</v>
      </c>
      <c r="L4" s="26" t="n">
        <f aca="false">start_year+INT((start_month-1+L3-1)/12)</f>
        <v>2027</v>
      </c>
      <c r="M4" s="26" t="n">
        <f aca="false">start_year+INT((start_month-1+M3-1)/12)</f>
        <v>2027</v>
      </c>
      <c r="N4" s="26" t="n">
        <f aca="false">start_year+INT((start_month-1+N3-1)/12)</f>
        <v>2027</v>
      </c>
      <c r="O4" s="26" t="n">
        <f aca="false">start_year+INT((start_month-1+O3-1)/12)</f>
        <v>2027</v>
      </c>
      <c r="P4" s="26" t="n">
        <f aca="false">start_year+INT((start_month-1+P3-1)/12)</f>
        <v>2027</v>
      </c>
      <c r="Q4" s="26" t="n">
        <f aca="false">start_year+INT((start_month-1+Q3-1)/12)</f>
        <v>2028</v>
      </c>
      <c r="R4" s="26" t="n">
        <f aca="false">start_year+INT((start_month-1+R3-1)/12)</f>
        <v>2028</v>
      </c>
      <c r="S4" s="26" t="n">
        <f aca="false">start_year+INT((start_month-1+S3-1)/12)</f>
        <v>2028</v>
      </c>
      <c r="T4" s="26" t="n">
        <f aca="false">start_year+INT((start_month-1+T3-1)/12)</f>
        <v>2028</v>
      </c>
      <c r="U4" s="26" t="n">
        <f aca="false">start_year+INT((start_month-1+U3-1)/12)</f>
        <v>2028</v>
      </c>
      <c r="V4" s="26" t="n">
        <f aca="false">start_year+INT((start_month-1+V3-1)/12)</f>
        <v>2028</v>
      </c>
      <c r="W4" s="26" t="n">
        <f aca="false">start_year+INT((start_month-1+W3-1)/12)</f>
        <v>2028</v>
      </c>
      <c r="X4" s="26" t="n">
        <f aca="false">start_year+INT((start_month-1+X3-1)/12)</f>
        <v>2028</v>
      </c>
      <c r="Y4" s="26" t="n">
        <f aca="false">start_year+INT((start_month-1+Y3-1)/12)</f>
        <v>2028</v>
      </c>
      <c r="Z4" s="26" t="n">
        <f aca="false">start_year+INT((start_month-1+Z3-1)/12)</f>
        <v>2028</v>
      </c>
    </row>
    <row r="5" customFormat="false" ht="15" hidden="false" customHeight="false" outlineLevel="0" collapsed="false">
      <c r="A5" s="2" t="s">
        <v>367</v>
      </c>
      <c r="C5" s="26" t="n">
        <f aca="false">MOD(start_month-1+C3-1,12)+1</f>
        <v>11</v>
      </c>
      <c r="D5" s="26" t="n">
        <f aca="false">MOD(start_month-1+D3-1,12)+1</f>
        <v>12</v>
      </c>
      <c r="E5" s="26" t="n">
        <f aca="false">MOD(start_month-1+E3-1,12)+1</f>
        <v>1</v>
      </c>
      <c r="F5" s="26" t="n">
        <f aca="false">MOD(start_month-1+F3-1,12)+1</f>
        <v>2</v>
      </c>
      <c r="G5" s="26" t="n">
        <f aca="false">MOD(start_month-1+G3-1,12)+1</f>
        <v>3</v>
      </c>
      <c r="H5" s="26" t="n">
        <f aca="false">MOD(start_month-1+H3-1,12)+1</f>
        <v>4</v>
      </c>
      <c r="I5" s="26" t="n">
        <f aca="false">MOD(start_month-1+I3-1,12)+1</f>
        <v>5</v>
      </c>
      <c r="J5" s="26" t="n">
        <f aca="false">MOD(start_month-1+J3-1,12)+1</f>
        <v>6</v>
      </c>
      <c r="K5" s="26" t="n">
        <f aca="false">MOD(start_month-1+K3-1,12)+1</f>
        <v>7</v>
      </c>
      <c r="L5" s="26" t="n">
        <f aca="false">MOD(start_month-1+L3-1,12)+1</f>
        <v>8</v>
      </c>
      <c r="M5" s="26" t="n">
        <f aca="false">MOD(start_month-1+M3-1,12)+1</f>
        <v>9</v>
      </c>
      <c r="N5" s="26" t="n">
        <f aca="false">MOD(start_month-1+N3-1,12)+1</f>
        <v>10</v>
      </c>
      <c r="O5" s="26" t="n">
        <f aca="false">MOD(start_month-1+O3-1,12)+1</f>
        <v>11</v>
      </c>
      <c r="P5" s="26" t="n">
        <f aca="false">MOD(start_month-1+P3-1,12)+1</f>
        <v>12</v>
      </c>
      <c r="Q5" s="26" t="n">
        <f aca="false">MOD(start_month-1+Q3-1,12)+1</f>
        <v>1</v>
      </c>
      <c r="R5" s="26" t="n">
        <f aca="false">MOD(start_month-1+R3-1,12)+1</f>
        <v>2</v>
      </c>
      <c r="S5" s="26" t="n">
        <f aca="false">MOD(start_month-1+S3-1,12)+1</f>
        <v>3</v>
      </c>
      <c r="T5" s="26" t="n">
        <f aca="false">MOD(start_month-1+T3-1,12)+1</f>
        <v>4</v>
      </c>
      <c r="U5" s="26" t="n">
        <f aca="false">MOD(start_month-1+U3-1,12)+1</f>
        <v>5</v>
      </c>
      <c r="V5" s="26" t="n">
        <f aca="false">MOD(start_month-1+V3-1,12)+1</f>
        <v>6</v>
      </c>
      <c r="W5" s="26" t="n">
        <f aca="false">MOD(start_month-1+W3-1,12)+1</f>
        <v>7</v>
      </c>
      <c r="X5" s="26" t="n">
        <f aca="false">MOD(start_month-1+X3-1,12)+1</f>
        <v>8</v>
      </c>
      <c r="Y5" s="26" t="n">
        <f aca="false">MOD(start_month-1+Y3-1,12)+1</f>
        <v>9</v>
      </c>
      <c r="Z5" s="26" t="n">
        <f aca="false">MOD(start_month-1+Z3-1,12)+1</f>
        <v>10</v>
      </c>
    </row>
    <row r="6" customFormat="false" ht="15" hidden="false" customHeight="false" outlineLevel="0" collapsed="false">
      <c r="A6" s="2" t="s">
        <v>368</v>
      </c>
      <c r="C6" s="27" t="n">
        <f aca="false">INDEX(season_tbl,C5)</f>
        <v>0.95</v>
      </c>
      <c r="D6" s="27" t="n">
        <f aca="false">INDEX(season_tbl,D5)</f>
        <v>1.2</v>
      </c>
      <c r="E6" s="27" t="n">
        <f aca="false">INDEX(season_tbl,E5)</f>
        <v>0.7</v>
      </c>
      <c r="F6" s="27" t="n">
        <f aca="false">INDEX(season_tbl,F5)</f>
        <v>0.8</v>
      </c>
      <c r="G6" s="27" t="n">
        <f aca="false">INDEX(season_tbl,G5)</f>
        <v>0.95</v>
      </c>
      <c r="H6" s="27" t="n">
        <f aca="false">INDEX(season_tbl,H5)</f>
        <v>1.15</v>
      </c>
      <c r="I6" s="27" t="n">
        <f aca="false">INDEX(season_tbl,I5)</f>
        <v>1.25</v>
      </c>
      <c r="J6" s="27" t="n">
        <f aca="false">INDEX(season_tbl,J5)</f>
        <v>1.1</v>
      </c>
      <c r="K6" s="27" t="n">
        <f aca="false">INDEX(season_tbl,K5)</f>
        <v>0.9</v>
      </c>
      <c r="L6" s="27" t="n">
        <f aca="false">INDEX(season_tbl,L5)</f>
        <v>1.05</v>
      </c>
      <c r="M6" s="27" t="n">
        <f aca="false">INDEX(season_tbl,M5)</f>
        <v>1.1</v>
      </c>
      <c r="N6" s="27" t="n">
        <f aca="false">INDEX(season_tbl,N5)</f>
        <v>1</v>
      </c>
      <c r="O6" s="27" t="n">
        <f aca="false">INDEX(season_tbl,O5)</f>
        <v>0.95</v>
      </c>
      <c r="P6" s="27" t="n">
        <f aca="false">INDEX(season_tbl,P5)</f>
        <v>1.2</v>
      </c>
      <c r="Q6" s="27" t="n">
        <f aca="false">INDEX(season_tbl,Q5)</f>
        <v>0.7</v>
      </c>
      <c r="R6" s="27" t="n">
        <f aca="false">INDEX(season_tbl,R5)</f>
        <v>0.8</v>
      </c>
      <c r="S6" s="27" t="n">
        <f aca="false">INDEX(season_tbl,S5)</f>
        <v>0.95</v>
      </c>
      <c r="T6" s="27" t="n">
        <f aca="false">INDEX(season_tbl,T5)</f>
        <v>1.15</v>
      </c>
      <c r="U6" s="27" t="n">
        <f aca="false">INDEX(season_tbl,U5)</f>
        <v>1.25</v>
      </c>
      <c r="V6" s="27" t="n">
        <f aca="false">INDEX(season_tbl,V5)</f>
        <v>1.1</v>
      </c>
      <c r="W6" s="27" t="n">
        <f aca="false">INDEX(season_tbl,W5)</f>
        <v>0.9</v>
      </c>
      <c r="X6" s="27" t="n">
        <f aca="false">INDEX(season_tbl,X5)</f>
        <v>1.05</v>
      </c>
      <c r="Y6" s="27" t="n">
        <f aca="false">INDEX(season_tbl,Y5)</f>
        <v>1.1</v>
      </c>
      <c r="Z6" s="27" t="n">
        <f aca="false">INDEX(season_tbl,Z5)</f>
        <v>1</v>
      </c>
    </row>
    <row r="8" customFormat="false" ht="15" hidden="false" customHeight="false" outlineLevel="0" collapsed="false">
      <c r="A8" s="13" t="s">
        <v>369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customFormat="false" ht="15" hidden="false" customHeight="false" outlineLevel="0" collapsed="false">
      <c r="A9" s="2" t="s">
        <v>370</v>
      </c>
      <c r="C9" s="12" t="n">
        <f aca="false">IF(C3&lt;=6,sc_a_start_O+(sc_a_m6_O-sc_a_start_O)*(C3-1)/5,sc_a_m6_O*(1+sc_a_growth_O)^(C3-6))</f>
        <v>18</v>
      </c>
      <c r="D9" s="12" t="n">
        <f aca="false">IF(D3&lt;=6,sc_a_start_O+(sc_a_m6_O-sc_a_start_O)*(D3-1)/5,sc_a_m6_O*(1+sc_a_growth_O)^(D3-6))</f>
        <v>26.4</v>
      </c>
      <c r="E9" s="12" t="n">
        <f aca="false">IF(E3&lt;=6,sc_a_start_O+(sc_a_m6_O-sc_a_start_O)*(E3-1)/5,sc_a_m6_O*(1+sc_a_growth_O)^(E3-6))</f>
        <v>34.8</v>
      </c>
      <c r="F9" s="12" t="n">
        <f aca="false">IF(F3&lt;=6,sc_a_start_O+(sc_a_m6_O-sc_a_start_O)*(F3-1)/5,sc_a_m6_O*(1+sc_a_growth_O)^(F3-6))</f>
        <v>43.2</v>
      </c>
      <c r="G9" s="12" t="n">
        <f aca="false">IF(G3&lt;=6,sc_a_start_O+(sc_a_m6_O-sc_a_start_O)*(G3-1)/5,sc_a_m6_O*(1+sc_a_growth_O)^(G3-6))</f>
        <v>51.6</v>
      </c>
      <c r="H9" s="12" t="n">
        <f aca="false">IF(H3&lt;=6,sc_a_start_O+(sc_a_m6_O-sc_a_start_O)*(H3-1)/5,sc_a_m6_O*(1+sc_a_growth_O)^(H3-6))</f>
        <v>60</v>
      </c>
      <c r="I9" s="12" t="n">
        <f aca="false">IF(I3&lt;=6,sc_a_start_O+(sc_a_m6_O-sc_a_start_O)*(I3-1)/5,sc_a_m6_O*(1+sc_a_growth_O)^(I3-6))</f>
        <v>63</v>
      </c>
      <c r="J9" s="12" t="n">
        <f aca="false">IF(J3&lt;=6,sc_a_start_O+(sc_a_m6_O-sc_a_start_O)*(J3-1)/5,sc_a_m6_O*(1+sc_a_growth_O)^(J3-6))</f>
        <v>66.15</v>
      </c>
      <c r="K9" s="12" t="n">
        <f aca="false">IF(K3&lt;=6,sc_a_start_O+(sc_a_m6_O-sc_a_start_O)*(K3-1)/5,sc_a_m6_O*(1+sc_a_growth_O)^(K3-6))</f>
        <v>69.4575</v>
      </c>
      <c r="L9" s="12" t="n">
        <f aca="false">IF(L3&lt;=6,sc_a_start_O+(sc_a_m6_O-sc_a_start_O)*(L3-1)/5,sc_a_m6_O*(1+sc_a_growth_O)^(L3-6))</f>
        <v>72.930375</v>
      </c>
      <c r="M9" s="12" t="n">
        <f aca="false">IF(M3&lt;=6,sc_a_start_O+(sc_a_m6_O-sc_a_start_O)*(M3-1)/5,sc_a_m6_O*(1+sc_a_growth_O)^(M3-6))</f>
        <v>76.57689375</v>
      </c>
      <c r="N9" s="12" t="n">
        <f aca="false">IF(N3&lt;=6,sc_a_start_O+(sc_a_m6_O-sc_a_start_O)*(N3-1)/5,sc_a_m6_O*(1+sc_a_growth_O)^(N3-6))</f>
        <v>80.4057384375</v>
      </c>
      <c r="O9" s="12" t="n">
        <f aca="false">IF(O3&lt;=6,sc_a_start_O+(sc_a_m6_O-sc_a_start_O)*(O3-1)/5,sc_a_m6_O*(1+sc_a_growth_O)^(O3-6))</f>
        <v>84.426025359375</v>
      </c>
      <c r="P9" s="12" t="n">
        <f aca="false">IF(P3&lt;=6,sc_a_start_O+(sc_a_m6_O-sc_a_start_O)*(P3-1)/5,sc_a_m6_O*(1+sc_a_growth_O)^(P3-6))</f>
        <v>88.6473266273438</v>
      </c>
      <c r="Q9" s="12" t="n">
        <f aca="false">IF(Q3&lt;=6,sc_a_start_O+(sc_a_m6_O-sc_a_start_O)*(Q3-1)/5,sc_a_m6_O*(1+sc_a_growth_O)^(Q3-6))</f>
        <v>93.079692958711</v>
      </c>
      <c r="R9" s="12" t="n">
        <f aca="false">IF(R3&lt;=6,sc_a_start_O+(sc_a_m6_O-sc_a_start_O)*(R3-1)/5,sc_a_m6_O*(1+sc_a_growth_O)^(R3-6))</f>
        <v>97.7336776066465</v>
      </c>
      <c r="S9" s="12" t="n">
        <f aca="false">IF(S3&lt;=6,sc_a_start_O+(sc_a_m6_O-sc_a_start_O)*(S3-1)/5,sc_a_m6_O*(1+sc_a_growth_O)^(S3-6))</f>
        <v>102.620361486979</v>
      </c>
      <c r="T9" s="12" t="n">
        <f aca="false">IF(T3&lt;=6,sc_a_start_O+(sc_a_m6_O-sc_a_start_O)*(T3-1)/5,sc_a_m6_O*(1+sc_a_growth_O)^(T3-6))</f>
        <v>107.751379561328</v>
      </c>
      <c r="U9" s="12" t="n">
        <f aca="false">IF(U3&lt;=6,sc_a_start_O+(sc_a_m6_O-sc_a_start_O)*(U3-1)/5,sc_a_m6_O*(1+sc_a_growth_O)^(U3-6))</f>
        <v>113.138948539394</v>
      </c>
      <c r="V9" s="12" t="n">
        <f aca="false">IF(V3&lt;=6,sc_a_start_O+(sc_a_m6_O-sc_a_start_O)*(V3-1)/5,sc_a_m6_O*(1+sc_a_growth_O)^(V3-6))</f>
        <v>118.795895966364</v>
      </c>
      <c r="W9" s="12" t="n">
        <f aca="false">IF(W3&lt;=6,sc_a_start_O+(sc_a_m6_O-sc_a_start_O)*(W3-1)/5,sc_a_m6_O*(1+sc_a_growth_O)^(W3-6))</f>
        <v>124.735690764682</v>
      </c>
      <c r="X9" s="12" t="n">
        <f aca="false">IF(X3&lt;=6,sc_a_start_O+(sc_a_m6_O-sc_a_start_O)*(X3-1)/5,sc_a_m6_O*(1+sc_a_growth_O)^(X3-6))</f>
        <v>130.972475302916</v>
      </c>
      <c r="Y9" s="12" t="n">
        <f aca="false">IF(Y3&lt;=6,sc_a_start_O+(sc_a_m6_O-sc_a_start_O)*(Y3-1)/5,sc_a_m6_O*(1+sc_a_growth_O)^(Y3-6))</f>
        <v>137.521099068062</v>
      </c>
      <c r="Z9" s="12" t="n">
        <f aca="false">IF(Z3&lt;=6,sc_a_start_O+(sc_a_m6_O-sc_a_start_O)*(Z3-1)/5,sc_a_m6_O*(1+sc_a_growth_O)^(Z3-6))</f>
        <v>144.397154021465</v>
      </c>
    </row>
    <row r="10" customFormat="false" ht="15" hidden="false" customHeight="false" outlineLevel="0" collapsed="false">
      <c r="A10" s="2" t="s">
        <v>371</v>
      </c>
      <c r="B10" s="28" t="n">
        <f aca="false">SUM(C10:Z10)</f>
        <v>2032.75034474057</v>
      </c>
      <c r="C10" s="12" t="n">
        <f aca="false">MIN(sc_a_cap_O,C9*C6)</f>
        <v>17.1</v>
      </c>
      <c r="D10" s="12" t="n">
        <f aca="false">MIN(sc_a_cap_O,D9*D6)</f>
        <v>31.68</v>
      </c>
      <c r="E10" s="12" t="n">
        <f aca="false">MIN(sc_a_cap_O,E9*E6)</f>
        <v>24.36</v>
      </c>
      <c r="F10" s="12" t="n">
        <f aca="false">MIN(sc_a_cap_O,F9*F6)</f>
        <v>34.56</v>
      </c>
      <c r="G10" s="12" t="n">
        <f aca="false">MIN(sc_a_cap_O,G9*G6)</f>
        <v>49.02</v>
      </c>
      <c r="H10" s="12" t="n">
        <f aca="false">MIN(sc_a_cap_O,H9*H6)</f>
        <v>69</v>
      </c>
      <c r="I10" s="12" t="n">
        <f aca="false">MIN(sc_a_cap_O,I9*I6)</f>
        <v>78.75</v>
      </c>
      <c r="J10" s="12" t="n">
        <f aca="false">MIN(sc_a_cap_O,J9*J6)</f>
        <v>72.765</v>
      </c>
      <c r="K10" s="12" t="n">
        <f aca="false">MIN(sc_a_cap_O,K9*K6)</f>
        <v>62.51175</v>
      </c>
      <c r="L10" s="12" t="n">
        <f aca="false">MIN(sc_a_cap_O,L9*L6)</f>
        <v>76.57689375</v>
      </c>
      <c r="M10" s="12" t="n">
        <f aca="false">MIN(sc_a_cap_O,M9*M6)</f>
        <v>84.234583125</v>
      </c>
      <c r="N10" s="12" t="n">
        <f aca="false">MIN(sc_a_cap_O,N9*N6)</f>
        <v>80.4057384375</v>
      </c>
      <c r="O10" s="12" t="n">
        <f aca="false">MIN(sc_a_cap_O,O9*O6)</f>
        <v>80.2047240914063</v>
      </c>
      <c r="P10" s="12" t="n">
        <f aca="false">MIN(sc_a_cap_O,P9*P6)</f>
        <v>106.376791952813</v>
      </c>
      <c r="Q10" s="12" t="n">
        <f aca="false">MIN(sc_a_cap_O,Q9*Q6)</f>
        <v>65.1557850710977</v>
      </c>
      <c r="R10" s="12" t="n">
        <f aca="false">MIN(sc_a_cap_O,R9*R6)</f>
        <v>78.1869420853172</v>
      </c>
      <c r="S10" s="12" t="n">
        <f aca="false">MIN(sc_a_cap_O,S9*S6)</f>
        <v>97.4893434126299</v>
      </c>
      <c r="T10" s="12" t="n">
        <f aca="false">MIN(sc_a_cap_O,T9*T6)</f>
        <v>123.914086495527</v>
      </c>
      <c r="U10" s="12" t="n">
        <f aca="false">MIN(sc_a_cap_O,U9*U6)</f>
        <v>140</v>
      </c>
      <c r="V10" s="12" t="n">
        <f aca="false">MIN(sc_a_cap_O,V9*V6)</f>
        <v>130.675485563</v>
      </c>
      <c r="W10" s="12" t="n">
        <f aca="false">MIN(sc_a_cap_O,W9*W6)</f>
        <v>112.262121688214</v>
      </c>
      <c r="X10" s="12" t="n">
        <f aca="false">MIN(sc_a_cap_O,X9*X6)</f>
        <v>137.521099068062</v>
      </c>
      <c r="Y10" s="12" t="n">
        <f aca="false">MIN(sc_a_cap_O,Y9*Y6)</f>
        <v>140</v>
      </c>
      <c r="Z10" s="12" t="n">
        <f aca="false">MIN(sc_a_cap_O,Z9*Z6)</f>
        <v>140</v>
      </c>
    </row>
    <row r="11" customFormat="false" ht="15" hidden="false" customHeight="false" outlineLevel="0" collapsed="false">
      <c r="A11" s="2" t="s">
        <v>372</v>
      </c>
      <c r="B11" s="28" t="n">
        <f aca="false">SUM(C11:Z11)</f>
        <v>585.143609919031</v>
      </c>
      <c r="C11" s="12" t="n">
        <f aca="false">IF(C3&lt;=6,sc_s_start_O+(sc_s_m6_O-sc_s_start_O)*(C3-1)/5,sc_s_m6_O*(1+sc_s_growth_O)^(C3-6))</f>
        <v>6</v>
      </c>
      <c r="D11" s="12" t="n">
        <f aca="false">IF(D3&lt;=6,sc_s_start_O+(sc_s_m6_O-sc_s_start_O)*(D3-1)/5,sc_s_m6_O*(1+sc_s_growth_O)^(D3-6))</f>
        <v>8.8</v>
      </c>
      <c r="E11" s="12" t="n">
        <f aca="false">IF(E3&lt;=6,sc_s_start_O+(sc_s_m6_O-sc_s_start_O)*(E3-1)/5,sc_s_m6_O*(1+sc_s_growth_O)^(E3-6))</f>
        <v>11.6</v>
      </c>
      <c r="F11" s="12" t="n">
        <f aca="false">IF(F3&lt;=6,sc_s_start_O+(sc_s_m6_O-sc_s_start_O)*(F3-1)/5,sc_s_m6_O*(1+sc_s_growth_O)^(F3-6))</f>
        <v>14.4</v>
      </c>
      <c r="G11" s="12" t="n">
        <f aca="false">IF(G3&lt;=6,sc_s_start_O+(sc_s_m6_O-sc_s_start_O)*(G3-1)/5,sc_s_m6_O*(1+sc_s_growth_O)^(G3-6))</f>
        <v>17.2</v>
      </c>
      <c r="H11" s="12" t="n">
        <f aca="false">IF(H3&lt;=6,sc_s_start_O+(sc_s_m6_O-sc_s_start_O)*(H3-1)/5,sc_s_m6_O*(1+sc_s_growth_O)^(H3-6))</f>
        <v>20</v>
      </c>
      <c r="I11" s="12" t="n">
        <f aca="false">IF(I3&lt;=6,sc_s_start_O+(sc_s_m6_O-sc_s_start_O)*(I3-1)/5,sc_s_m6_O*(1+sc_s_growth_O)^(I3-6))</f>
        <v>20.7</v>
      </c>
      <c r="J11" s="12" t="n">
        <f aca="false">IF(J3&lt;=6,sc_s_start_O+(sc_s_m6_O-sc_s_start_O)*(J3-1)/5,sc_s_m6_O*(1+sc_s_growth_O)^(J3-6))</f>
        <v>21.4245</v>
      </c>
      <c r="K11" s="12" t="n">
        <f aca="false">IF(K3&lt;=6,sc_s_start_O+(sc_s_m6_O-sc_s_start_O)*(K3-1)/5,sc_s_m6_O*(1+sc_s_growth_O)^(K3-6))</f>
        <v>22.1743575</v>
      </c>
      <c r="L11" s="12" t="n">
        <f aca="false">IF(L3&lt;=6,sc_s_start_O+(sc_s_m6_O-sc_s_start_O)*(L3-1)/5,sc_s_m6_O*(1+sc_s_growth_O)^(L3-6))</f>
        <v>22.9504600125</v>
      </c>
      <c r="M11" s="12" t="n">
        <f aca="false">IF(M3&lt;=6,sc_s_start_O+(sc_s_m6_O-sc_s_start_O)*(M3-1)/5,sc_s_m6_O*(1+sc_s_growth_O)^(M3-6))</f>
        <v>23.7537261129375</v>
      </c>
      <c r="N11" s="12" t="n">
        <f aca="false">IF(N3&lt;=6,sc_s_start_O+(sc_s_m6_O-sc_s_start_O)*(N3-1)/5,sc_s_m6_O*(1+sc_s_growth_O)^(N3-6))</f>
        <v>24.5851065268903</v>
      </c>
      <c r="O11" s="12" t="n">
        <f aca="false">IF(O3&lt;=6,sc_s_start_O+(sc_s_m6_O-sc_s_start_O)*(O3-1)/5,sc_s_m6_O*(1+sc_s_growth_O)^(O3-6))</f>
        <v>25.4455852553315</v>
      </c>
      <c r="P11" s="12" t="n">
        <f aca="false">IF(P3&lt;=6,sc_s_start_O+(sc_s_m6_O-sc_s_start_O)*(P3-1)/5,sc_s_m6_O*(1+sc_s_growth_O)^(P3-6))</f>
        <v>26.3361807392681</v>
      </c>
      <c r="Q11" s="12" t="n">
        <f aca="false">IF(Q3&lt;=6,sc_s_start_O+(sc_s_m6_O-sc_s_start_O)*(Q3-1)/5,sc_s_m6_O*(1+sc_s_growth_O)^(Q3-6))</f>
        <v>27.2579470651424</v>
      </c>
      <c r="R11" s="12" t="n">
        <f aca="false">IF(R3&lt;=6,sc_s_start_O+(sc_s_m6_O-sc_s_start_O)*(R3-1)/5,sc_s_m6_O*(1+sc_s_growth_O)^(R3-6))</f>
        <v>28.2119752124224</v>
      </c>
      <c r="S11" s="12" t="n">
        <f aca="false">IF(S3&lt;=6,sc_s_start_O+(sc_s_m6_O-sc_s_start_O)*(S3-1)/5,sc_s_m6_O*(1+sc_s_growth_O)^(S3-6))</f>
        <v>29.1993943448572</v>
      </c>
      <c r="T11" s="12" t="n">
        <f aca="false">IF(T3&lt;=6,sc_s_start_O+(sc_s_m6_O-sc_s_start_O)*(T3-1)/5,sc_s_m6_O*(1+sc_s_growth_O)^(T3-6))</f>
        <v>30.2213731469272</v>
      </c>
      <c r="U11" s="12" t="n">
        <f aca="false">IF(U3&lt;=6,sc_s_start_O+(sc_s_m6_O-sc_s_start_O)*(U3-1)/5,sc_s_m6_O*(1+sc_s_growth_O)^(U3-6))</f>
        <v>31.2791212070697</v>
      </c>
      <c r="V11" s="12" t="n">
        <f aca="false">IF(V3&lt;=6,sc_s_start_O+(sc_s_m6_O-sc_s_start_O)*(V3-1)/5,sc_s_m6_O*(1+sc_s_growth_O)^(V3-6))</f>
        <v>32.3738904493171</v>
      </c>
      <c r="W11" s="12" t="n">
        <f aca="false">IF(W3&lt;=6,sc_s_start_O+(sc_s_m6_O-sc_s_start_O)*(W3-1)/5,sc_s_m6_O*(1+sc_s_growth_O)^(W3-6))</f>
        <v>33.5069766150432</v>
      </c>
      <c r="X11" s="12" t="n">
        <f aca="false">IF(X3&lt;=6,sc_s_start_O+(sc_s_m6_O-sc_s_start_O)*(X3-1)/5,sc_s_m6_O*(1+sc_s_growth_O)^(X3-6))</f>
        <v>34.6797207965697</v>
      </c>
      <c r="Y11" s="12" t="n">
        <f aca="false">IF(Y3&lt;=6,sc_s_start_O+(sc_s_m6_O-sc_s_start_O)*(Y3-1)/5,sc_s_m6_O*(1+sc_s_growth_O)^(Y3-6))</f>
        <v>35.8935110244496</v>
      </c>
      <c r="Z11" s="12" t="n">
        <f aca="false">IF(Z3&lt;=6,sc_s_start_O+(sc_s_m6_O-sc_s_start_O)*(Z3-1)/5,sc_s_m6_O*(1+sc_s_growth_O)^(Z3-6))</f>
        <v>37.1497839103054</v>
      </c>
    </row>
    <row r="12" customFormat="false" ht="15" hidden="false" customHeight="false" outlineLevel="0" collapsed="false">
      <c r="A12" s="2" t="s">
        <v>373</v>
      </c>
      <c r="C12" s="12" t="n">
        <f aca="false">C11</f>
        <v>6</v>
      </c>
      <c r="D12" s="12" t="n">
        <f aca="false">C12*(1-sc_churn_O)+D11</f>
        <v>14.38</v>
      </c>
      <c r="E12" s="12" t="n">
        <f aca="false">D12*(1-sc_churn_O)+E11</f>
        <v>24.9734</v>
      </c>
      <c r="F12" s="12" t="n">
        <f aca="false">E12*(1-sc_churn_O)+F11</f>
        <v>37.625262</v>
      </c>
      <c r="G12" s="12" t="n">
        <f aca="false">F12*(1-sc_churn_O)+G11</f>
        <v>52.19149366</v>
      </c>
      <c r="H12" s="12" t="n">
        <f aca="false">G12*(1-sc_churn_O)+H11</f>
        <v>68.5380891038</v>
      </c>
      <c r="I12" s="12" t="n">
        <f aca="false">H12*(1-sc_churn_O)+I11</f>
        <v>84.440422866534</v>
      </c>
      <c r="J12" s="12" t="n">
        <f aca="false">I12*(1-sc_churn_O)+J11</f>
        <v>99.9540932658766</v>
      </c>
      <c r="K12" s="12" t="n">
        <f aca="false">J12*(1-sc_churn_O)+K11</f>
        <v>115.131664237265</v>
      </c>
      <c r="L12" s="12" t="n">
        <f aca="false">K12*(1-sc_churn_O)+L11</f>
        <v>130.022907753157</v>
      </c>
      <c r="M12" s="12" t="n">
        <f aca="false">L12*(1-sc_churn_O)+M11</f>
        <v>144.675030323373</v>
      </c>
      <c r="N12" s="12" t="n">
        <f aca="false">M12*(1-sc_churn_O)+N11</f>
        <v>159.132884727627</v>
      </c>
      <c r="O12" s="12" t="n">
        <f aca="false">N12*(1-sc_churn_O)+O11</f>
        <v>173.439168052025</v>
      </c>
      <c r="P12" s="12" t="n">
        <f aca="false">O12*(1-sc_churn_O)+P11</f>
        <v>187.634607027651</v>
      </c>
      <c r="Q12" s="12" t="n">
        <f aca="false">P12*(1-sc_churn_O)+Q11</f>
        <v>201.758131600858</v>
      </c>
      <c r="R12" s="12" t="n">
        <f aca="false">Q12*(1-sc_churn_O)+R11</f>
        <v>215.84703760122</v>
      </c>
      <c r="S12" s="12" t="n">
        <f aca="false">R12*(1-sc_churn_O)+S11</f>
        <v>229.937139313992</v>
      </c>
      <c r="T12" s="12" t="n">
        <f aca="false">S12*(1-sc_churn_O)+T11</f>
        <v>244.06291270894</v>
      </c>
      <c r="U12" s="12" t="n">
        <f aca="false">T12*(1-sc_churn_O)+U11</f>
        <v>258.257630026384</v>
      </c>
      <c r="V12" s="12" t="n">
        <f aca="false">U12*(1-sc_churn_O)+V11</f>
        <v>272.553486373854</v>
      </c>
      <c r="W12" s="12" t="n">
        <f aca="false">V12*(1-sc_churn_O)+W11</f>
        <v>286.981718942727</v>
      </c>
      <c r="X12" s="12" t="n">
        <f aca="false">W12*(1-sc_churn_O)+X11</f>
        <v>301.572719413306</v>
      </c>
      <c r="Y12" s="12" t="n">
        <f aca="false">X12*(1-sc_churn_O)+Y11</f>
        <v>316.356140078824</v>
      </c>
      <c r="Z12" s="12" t="n">
        <f aca="false">Y12*(1-sc_churn_O)+Z11</f>
        <v>331.360994183612</v>
      </c>
    </row>
    <row r="13" customFormat="false" ht="15" hidden="false" customHeight="false" outlineLevel="0" collapsed="false">
      <c r="A13" s="2" t="s">
        <v>374</v>
      </c>
      <c r="B13" s="28" t="n">
        <f aca="false">SUM(C13:Z13)</f>
        <v>11079.1154131309</v>
      </c>
      <c r="C13" s="12" t="n">
        <f aca="false">C12*UB_visits_per_month</f>
        <v>16.8</v>
      </c>
      <c r="D13" s="12" t="n">
        <f aca="false">D12*UB_visits_per_month</f>
        <v>40.264</v>
      </c>
      <c r="E13" s="12" t="n">
        <f aca="false">E12*UB_visits_per_month</f>
        <v>69.92552</v>
      </c>
      <c r="F13" s="12" t="n">
        <f aca="false">F12*UB_visits_per_month</f>
        <v>105.3507336</v>
      </c>
      <c r="G13" s="12" t="n">
        <f aca="false">G12*UB_visits_per_month</f>
        <v>146.136182248</v>
      </c>
      <c r="H13" s="12" t="n">
        <f aca="false">H12*UB_visits_per_month</f>
        <v>191.90664949064</v>
      </c>
      <c r="I13" s="12" t="n">
        <f aca="false">I12*UB_visits_per_month</f>
        <v>236.433184026295</v>
      </c>
      <c r="J13" s="12" t="n">
        <f aca="false">J12*UB_visits_per_month</f>
        <v>279.871461144455</v>
      </c>
      <c r="K13" s="12" t="n">
        <f aca="false">K12*UB_visits_per_month</f>
        <v>322.368659864343</v>
      </c>
      <c r="L13" s="12" t="n">
        <f aca="false">L12*UB_visits_per_month</f>
        <v>364.064141708839</v>
      </c>
      <c r="M13" s="12" t="n">
        <f aca="false">M12*UB_visits_per_month</f>
        <v>405.090084905445</v>
      </c>
      <c r="N13" s="12" t="n">
        <f aca="false">N12*UB_visits_per_month</f>
        <v>445.572077237357</v>
      </c>
      <c r="O13" s="12" t="n">
        <f aca="false">O12*UB_visits_per_month</f>
        <v>485.62967054567</v>
      </c>
      <c r="P13" s="12" t="n">
        <f aca="false">P12*UB_visits_per_month</f>
        <v>525.376899677423</v>
      </c>
      <c r="Q13" s="12" t="n">
        <f aca="false">Q12*UB_visits_per_month</f>
        <v>564.922768482403</v>
      </c>
      <c r="R13" s="12" t="n">
        <f aca="false">R12*UB_visits_per_month</f>
        <v>604.371705283417</v>
      </c>
      <c r="S13" s="12" t="n">
        <f aca="false">S12*UB_visits_per_month</f>
        <v>643.823990079178</v>
      </c>
      <c r="T13" s="12" t="n">
        <f aca="false">T12*UB_visits_per_month</f>
        <v>683.376155585032</v>
      </c>
      <c r="U13" s="12" t="n">
        <f aca="false">U12*UB_visits_per_month</f>
        <v>723.121364073875</v>
      </c>
      <c r="V13" s="12" t="n">
        <f aca="false">V12*UB_visits_per_month</f>
        <v>763.149761846791</v>
      </c>
      <c r="W13" s="12" t="n">
        <f aca="false">W12*UB_visits_per_month</f>
        <v>803.548813039637</v>
      </c>
      <c r="X13" s="12" t="n">
        <f aca="false">X12*UB_visits_per_month</f>
        <v>844.403614357257</v>
      </c>
      <c r="Y13" s="12" t="n">
        <f aca="false">Y12*UB_visits_per_month</f>
        <v>885.797192220708</v>
      </c>
      <c r="Z13" s="12" t="n">
        <f aca="false">Z12*UB_visits_per_month</f>
        <v>927.810783714113</v>
      </c>
    </row>
    <row r="14" customFormat="false" ht="15" hidden="false" customHeight="false" outlineLevel="0" collapsed="false">
      <c r="A14" s="2" t="s">
        <v>375</v>
      </c>
      <c r="B14" s="28" t="n">
        <f aca="false">SUM(C14:Z14)</f>
        <v>1219.65020684434</v>
      </c>
      <c r="C14" s="12" t="n">
        <f aca="false">C10*sc_spec_ratio_O</f>
        <v>10.26</v>
      </c>
      <c r="D14" s="12" t="n">
        <f aca="false">D10*sc_spec_ratio_O</f>
        <v>19.008</v>
      </c>
      <c r="E14" s="12" t="n">
        <f aca="false">E10*sc_spec_ratio_O</f>
        <v>14.616</v>
      </c>
      <c r="F14" s="12" t="n">
        <f aca="false">F10*sc_spec_ratio_O</f>
        <v>20.736</v>
      </c>
      <c r="G14" s="12" t="n">
        <f aca="false">G10*sc_spec_ratio_O</f>
        <v>29.412</v>
      </c>
      <c r="H14" s="12" t="n">
        <f aca="false">H10*sc_spec_ratio_O</f>
        <v>41.4</v>
      </c>
      <c r="I14" s="12" t="n">
        <f aca="false">I10*sc_spec_ratio_O</f>
        <v>47.25</v>
      </c>
      <c r="J14" s="12" t="n">
        <f aca="false">J10*sc_spec_ratio_O</f>
        <v>43.659</v>
      </c>
      <c r="K14" s="12" t="n">
        <f aca="false">K10*sc_spec_ratio_O</f>
        <v>37.50705</v>
      </c>
      <c r="L14" s="12" t="n">
        <f aca="false">L10*sc_spec_ratio_O</f>
        <v>45.94613625</v>
      </c>
      <c r="M14" s="12" t="n">
        <f aca="false">M10*sc_spec_ratio_O</f>
        <v>50.540749875</v>
      </c>
      <c r="N14" s="12" t="n">
        <f aca="false">N10*sc_spec_ratio_O</f>
        <v>48.2434430625</v>
      </c>
      <c r="O14" s="12" t="n">
        <f aca="false">O10*sc_spec_ratio_O</f>
        <v>48.1228344548438</v>
      </c>
      <c r="P14" s="12" t="n">
        <f aca="false">P10*sc_spec_ratio_O</f>
        <v>63.8260751716875</v>
      </c>
      <c r="Q14" s="12" t="n">
        <f aca="false">Q10*sc_spec_ratio_O</f>
        <v>39.0934710426586</v>
      </c>
      <c r="R14" s="12" t="n">
        <f aca="false">R10*sc_spec_ratio_O</f>
        <v>46.9121652511903</v>
      </c>
      <c r="S14" s="12" t="n">
        <f aca="false">S10*sc_spec_ratio_O</f>
        <v>58.4936060475779</v>
      </c>
      <c r="T14" s="12" t="n">
        <f aca="false">T10*sc_spec_ratio_O</f>
        <v>74.3484518973162</v>
      </c>
      <c r="U14" s="12" t="n">
        <f aca="false">U10*sc_spec_ratio_O</f>
        <v>84</v>
      </c>
      <c r="V14" s="12" t="n">
        <f aca="false">V10*sc_spec_ratio_O</f>
        <v>78.4052913378002</v>
      </c>
      <c r="W14" s="12" t="n">
        <f aca="false">W10*sc_spec_ratio_O</f>
        <v>67.3572730129284</v>
      </c>
      <c r="X14" s="12" t="n">
        <f aca="false">X10*sc_spec_ratio_O</f>
        <v>82.5126594408372</v>
      </c>
      <c r="Y14" s="12" t="n">
        <f aca="false">Y10*sc_spec_ratio_O</f>
        <v>84</v>
      </c>
      <c r="Z14" s="12" t="n">
        <f aca="false">Z10*sc_spec_ratio_O</f>
        <v>84</v>
      </c>
    </row>
    <row r="15" customFormat="false" ht="15" hidden="false" customHeight="false" outlineLevel="0" collapsed="false">
      <c r="A15" s="2" t="s">
        <v>376</v>
      </c>
      <c r="C15" s="26" t="n">
        <f aca="false">IF(C3&gt;=sc_b2b_start_O,MIN(sc_b2b_max_O,INT((C3-sc_b2b_start_O)/sc_b2b_step_O)+1),0)</f>
        <v>0</v>
      </c>
      <c r="D15" s="26" t="n">
        <f aca="false">IF(D3&gt;=sc_b2b_start_O,MIN(sc_b2b_max_O,INT((D3-sc_b2b_start_O)/sc_b2b_step_O)+1),0)</f>
        <v>0</v>
      </c>
      <c r="E15" s="26" t="n">
        <f aca="false">IF(E3&gt;=sc_b2b_start_O,MIN(sc_b2b_max_O,INT((E3-sc_b2b_start_O)/sc_b2b_step_O)+1),0)</f>
        <v>1</v>
      </c>
      <c r="F15" s="26" t="n">
        <f aca="false">IF(F3&gt;=sc_b2b_start_O,MIN(sc_b2b_max_O,INT((F3-sc_b2b_start_O)/sc_b2b_step_O)+1),0)</f>
        <v>1</v>
      </c>
      <c r="G15" s="26" t="n">
        <f aca="false">IF(G3&gt;=sc_b2b_start_O,MIN(sc_b2b_max_O,INT((G3-sc_b2b_start_O)/sc_b2b_step_O)+1),0)</f>
        <v>2</v>
      </c>
      <c r="H15" s="26" t="n">
        <f aca="false">IF(H3&gt;=sc_b2b_start_O,MIN(sc_b2b_max_O,INT((H3-sc_b2b_start_O)/sc_b2b_step_O)+1),0)</f>
        <v>2</v>
      </c>
      <c r="I15" s="26" t="n">
        <f aca="false">IF(I3&gt;=sc_b2b_start_O,MIN(sc_b2b_max_O,INT((I3-sc_b2b_start_O)/sc_b2b_step_O)+1),0)</f>
        <v>3</v>
      </c>
      <c r="J15" s="26" t="n">
        <f aca="false">IF(J3&gt;=sc_b2b_start_O,MIN(sc_b2b_max_O,INT((J3-sc_b2b_start_O)/sc_b2b_step_O)+1),0)</f>
        <v>3</v>
      </c>
      <c r="K15" s="26" t="n">
        <f aca="false">IF(K3&gt;=sc_b2b_start_O,MIN(sc_b2b_max_O,INT((K3-sc_b2b_start_O)/sc_b2b_step_O)+1),0)</f>
        <v>4</v>
      </c>
      <c r="L15" s="26" t="n">
        <f aca="false">IF(L3&gt;=sc_b2b_start_O,MIN(sc_b2b_max_O,INT((L3-sc_b2b_start_O)/sc_b2b_step_O)+1),0)</f>
        <v>4</v>
      </c>
      <c r="M15" s="26" t="n">
        <f aca="false">IF(M3&gt;=sc_b2b_start_O,MIN(sc_b2b_max_O,INT((M3-sc_b2b_start_O)/sc_b2b_step_O)+1),0)</f>
        <v>5</v>
      </c>
      <c r="N15" s="26" t="n">
        <f aca="false">IF(N3&gt;=sc_b2b_start_O,MIN(sc_b2b_max_O,INT((N3-sc_b2b_start_O)/sc_b2b_step_O)+1),0)</f>
        <v>5</v>
      </c>
      <c r="O15" s="26" t="n">
        <f aca="false">IF(O3&gt;=sc_b2b_start_O,MIN(sc_b2b_max_O,INT((O3-sc_b2b_start_O)/sc_b2b_step_O)+1),0)</f>
        <v>6</v>
      </c>
      <c r="P15" s="26" t="n">
        <f aca="false">IF(P3&gt;=sc_b2b_start_O,MIN(sc_b2b_max_O,INT((P3-sc_b2b_start_O)/sc_b2b_step_O)+1),0)</f>
        <v>6</v>
      </c>
      <c r="Q15" s="26" t="n">
        <f aca="false">IF(Q3&gt;=sc_b2b_start_O,MIN(sc_b2b_max_O,INT((Q3-sc_b2b_start_O)/sc_b2b_step_O)+1),0)</f>
        <v>7</v>
      </c>
      <c r="R15" s="26" t="n">
        <f aca="false">IF(R3&gt;=sc_b2b_start_O,MIN(sc_b2b_max_O,INT((R3-sc_b2b_start_O)/sc_b2b_step_O)+1),0)</f>
        <v>7</v>
      </c>
      <c r="S15" s="26" t="n">
        <f aca="false">IF(S3&gt;=sc_b2b_start_O,MIN(sc_b2b_max_O,INT((S3-sc_b2b_start_O)/sc_b2b_step_O)+1),0)</f>
        <v>7</v>
      </c>
      <c r="T15" s="26" t="n">
        <f aca="false">IF(T3&gt;=sc_b2b_start_O,MIN(sc_b2b_max_O,INT((T3-sc_b2b_start_O)/sc_b2b_step_O)+1),0)</f>
        <v>7</v>
      </c>
      <c r="U15" s="26" t="n">
        <f aca="false">IF(U3&gt;=sc_b2b_start_O,MIN(sc_b2b_max_O,INT((U3-sc_b2b_start_O)/sc_b2b_step_O)+1),0)</f>
        <v>7</v>
      </c>
      <c r="V15" s="26" t="n">
        <f aca="false">IF(V3&gt;=sc_b2b_start_O,MIN(sc_b2b_max_O,INT((V3-sc_b2b_start_O)/sc_b2b_step_O)+1),0)</f>
        <v>7</v>
      </c>
      <c r="W15" s="26" t="n">
        <f aca="false">IF(W3&gt;=sc_b2b_start_O,MIN(sc_b2b_max_O,INT((W3-sc_b2b_start_O)/sc_b2b_step_O)+1),0)</f>
        <v>7</v>
      </c>
      <c r="X15" s="26" t="n">
        <f aca="false">IF(X3&gt;=sc_b2b_start_O,MIN(sc_b2b_max_O,INT((X3-sc_b2b_start_O)/sc_b2b_step_O)+1),0)</f>
        <v>7</v>
      </c>
      <c r="Y15" s="26" t="n">
        <f aca="false">IF(Y3&gt;=sc_b2b_start_O,MIN(sc_b2b_max_O,INT((Y3-sc_b2b_start_O)/sc_b2b_step_O)+1),0)</f>
        <v>7</v>
      </c>
      <c r="Z15" s="26" t="n">
        <f aca="false">IF(Z3&gt;=sc_b2b_start_O,MIN(sc_b2b_max_O,INT((Z3-sc_b2b_start_O)/sc_b2b_step_O)+1),0)</f>
        <v>7</v>
      </c>
    </row>
    <row r="16" customFormat="false" ht="15" hidden="false" customHeight="false" outlineLevel="0" collapsed="false">
      <c r="A16" s="2" t="s">
        <v>377</v>
      </c>
      <c r="C16" s="12" t="n">
        <f aca="false">(C10*UA_man_hours+C13*UB_hours+C14*US_man_hours)/hours_per_fte+C15*b2b_fte</f>
        <v>2.1932</v>
      </c>
      <c r="D16" s="12" t="n">
        <f aca="false">(D10*UA_man_hours+D13*UB_hours+D14*US_man_hours)/hours_per_fte+D15*b2b_fte</f>
        <v>4.27645333333333</v>
      </c>
      <c r="E16" s="12" t="n">
        <f aca="false">(E10*UA_man_hours+E13*UB_hours+E14*US_man_hours)/hours_per_fte+E15*b2b_fte</f>
        <v>5.19751546666667</v>
      </c>
      <c r="F16" s="12" t="n">
        <f aca="false">(F10*UA_man_hours+F13*UB_hours+F14*US_man_hours)/hours_per_fte+F15*b2b_fte</f>
        <v>7.098503784</v>
      </c>
      <c r="G16" s="12" t="n">
        <f aca="false">(G10*UA_man_hours+G13*UB_hours+G14*US_man_hours)/hours_per_fte+G15*b2b_fte</f>
        <v>10.5732842524533</v>
      </c>
      <c r="H16" s="12" t="n">
        <f aca="false">(H10*UA_man_hours+H13*UB_hours+H14*US_man_hours)/hours_per_fte+H15*b2b_fte</f>
        <v>13.7458218214483</v>
      </c>
      <c r="I16" s="12" t="n">
        <f aca="false">(I10*UA_man_hours+I13*UB_hours+I14*US_man_hours)/hours_per_fte+I15*b2b_fte</f>
        <v>16.8117742939469</v>
      </c>
      <c r="J16" s="12" t="n">
        <f aca="false">(J10*UA_man_hours+J13*UB_hours+J14*US_man_hours)/hours_per_fte+J15*b2b_fte</f>
        <v>17.1949140933706</v>
      </c>
      <c r="K16" s="12" t="n">
        <f aca="false">(K10*UA_man_hours+K13*UB_hours+K14*US_man_hours)/hours_per_fte+K15*b2b_fte</f>
        <v>18.1065063968347</v>
      </c>
      <c r="L16" s="12" t="n">
        <f aca="false">(L10*UA_man_hours+L13*UB_hours+L14*US_man_hours)/hours_per_fte+L15*b2b_fte</f>
        <v>20.5609294482062</v>
      </c>
      <c r="M16" s="12" t="n">
        <f aca="false">(M10*UA_man_hours+M13*UB_hours+M14*US_man_hours)/hours_per_fte+M15*b2b_fte</f>
        <v>23.3248114036271</v>
      </c>
      <c r="N16" s="12" t="n">
        <f aca="false">(N10*UA_man_hours+N13*UB_hours+N14*US_man_hours)/hours_per_fte+N15*b2b_fte</f>
        <v>23.866086250955</v>
      </c>
      <c r="O16" s="12" t="n">
        <f aca="false">(O10*UA_man_hours+O13*UB_hours+O14*US_man_hours)/hours_per_fte+O15*b2b_fte</f>
        <v>25.7795899170271</v>
      </c>
      <c r="P16" s="12" t="n">
        <f aca="false">(P10*UA_man_hours+P13*UB_hours+P14*US_man_hours)/hours_per_fte+P15*b2b_fte</f>
        <v>29.4638164115028</v>
      </c>
      <c r="Q16" s="12" t="n">
        <f aca="false">(Q10*UA_man_hours+Q13*UB_hours+Q14*US_man_hours)/hours_per_fte+Q15*b2b_fte</f>
        <v>27.0446072920783</v>
      </c>
      <c r="R16" s="12" t="n">
        <f aca="false">(R10*UA_man_hours+R13*UB_hours+R14*US_man_hours)/hours_per_fte+R15*b2b_fte</f>
        <v>29.3376976895998</v>
      </c>
      <c r="S16" s="12" t="n">
        <f aca="false">(S10*UA_man_hours+S13*UB_hours+S14*US_man_hours)/hours_per_fte+S15*b2b_fte</f>
        <v>32.2914372746445</v>
      </c>
      <c r="T16" s="12" t="n">
        <f aca="false">(T10*UA_man_hours+T13*UB_hours+T14*US_man_hours)/hours_per_fte+T15*b2b_fte</f>
        <v>35.9977274078462</v>
      </c>
      <c r="U16" s="12" t="n">
        <f aca="false">(U10*UA_man_hours+U13*UB_hours+U14*US_man_hours)/hours_per_fte+U15*b2b_fte</f>
        <v>38.6194984950571</v>
      </c>
      <c r="V16" s="12" t="n">
        <f aca="false">(V10*UA_man_hours+V13*UB_hours+V14*US_man_hours)/hours_per_fte+V15*b2b_fte</f>
        <v>38.5713122557278</v>
      </c>
      <c r="W16" s="12" t="n">
        <f aca="false">(W10*UA_man_hours+W13*UB_hours+W14*US_man_hours)/hours_per_fte+W15*b2b_fte</f>
        <v>37.57441578875</v>
      </c>
      <c r="X16" s="12" t="n">
        <f aca="false">(X10*UA_man_hours+X13*UB_hours+X14*US_man_hours)/hours_per_fte+X15*b2b_fte</f>
        <v>41.1883067701719</v>
      </c>
      <c r="Y16" s="12" t="n">
        <f aca="false">(Y10*UA_man_hours+Y13*UB_hours+Y14*US_man_hours)/hours_per_fte+Y15*b2b_fte</f>
        <v>42.4152678184832</v>
      </c>
      <c r="Z16" s="12" t="n">
        <f aca="false">(Z10*UA_man_hours+Z13*UB_hours+Z14*US_man_hours)/hours_per_fte+Z15*b2b_fte</f>
        <v>43.3955849533293</v>
      </c>
    </row>
    <row r="18" customFormat="false" ht="15" hidden="false" customHeight="false" outlineLevel="0" collapsed="false">
      <c r="A18" s="13" t="s">
        <v>378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customFormat="false" ht="15" hidden="false" customHeight="false" outlineLevel="0" collapsed="false">
      <c r="A19" s="2" t="s">
        <v>379</v>
      </c>
      <c r="B19" s="11" t="n">
        <f aca="false">SUM(C19:Z19)</f>
        <v>27442129.6539977</v>
      </c>
      <c r="C19" s="9" t="n">
        <f aca="false">C10*aov_a</f>
        <v>230850</v>
      </c>
      <c r="D19" s="9" t="n">
        <f aca="false">D10*aov_a</f>
        <v>427680</v>
      </c>
      <c r="E19" s="9" t="n">
        <f aca="false">E10*aov_a</f>
        <v>328860</v>
      </c>
      <c r="F19" s="9" t="n">
        <f aca="false">F10*aov_a</f>
        <v>466560</v>
      </c>
      <c r="G19" s="9" t="n">
        <f aca="false">G10*aov_a</f>
        <v>661770</v>
      </c>
      <c r="H19" s="9" t="n">
        <f aca="false">H10*aov_a</f>
        <v>931500</v>
      </c>
      <c r="I19" s="9" t="n">
        <f aca="false">I10*aov_a</f>
        <v>1063125</v>
      </c>
      <c r="J19" s="9" t="n">
        <f aca="false">J10*aov_a</f>
        <v>982327.5</v>
      </c>
      <c r="K19" s="9" t="n">
        <f aca="false">K10*aov_a</f>
        <v>843908.625</v>
      </c>
      <c r="L19" s="9" t="n">
        <f aca="false">L10*aov_a</f>
        <v>1033788.065625</v>
      </c>
      <c r="M19" s="9" t="n">
        <f aca="false">M10*aov_a</f>
        <v>1137166.8721875</v>
      </c>
      <c r="N19" s="9" t="n">
        <f aca="false">N10*aov_a</f>
        <v>1085477.46890625</v>
      </c>
      <c r="O19" s="9" t="n">
        <f aca="false">O10*aov_a</f>
        <v>1082763.77523398</v>
      </c>
      <c r="P19" s="9" t="n">
        <f aca="false">P10*aov_a</f>
        <v>1436086.69136297</v>
      </c>
      <c r="Q19" s="9" t="n">
        <f aca="false">Q10*aov_a</f>
        <v>879603.098459819</v>
      </c>
      <c r="R19" s="9" t="n">
        <f aca="false">R10*aov_a</f>
        <v>1055523.71815178</v>
      </c>
      <c r="S19" s="9" t="n">
        <f aca="false">S10*aov_a</f>
        <v>1316106.1360705</v>
      </c>
      <c r="T19" s="9" t="n">
        <f aca="false">T10*aov_a</f>
        <v>1672840.16768961</v>
      </c>
      <c r="U19" s="9" t="n">
        <f aca="false">U10*aov_a</f>
        <v>1890000</v>
      </c>
      <c r="V19" s="9" t="n">
        <f aca="false">V10*aov_a</f>
        <v>1764119.0551005</v>
      </c>
      <c r="W19" s="9" t="n">
        <f aca="false">W10*aov_a</f>
        <v>1515538.64279089</v>
      </c>
      <c r="X19" s="9" t="n">
        <f aca="false">X10*aov_a</f>
        <v>1856534.83741884</v>
      </c>
      <c r="Y19" s="9" t="n">
        <f aca="false">Y10*aov_a</f>
        <v>1890000</v>
      </c>
      <c r="Z19" s="9" t="n">
        <f aca="false">Z10*aov_a</f>
        <v>1890000</v>
      </c>
    </row>
    <row r="20" customFormat="false" ht="15" hidden="false" customHeight="false" outlineLevel="0" collapsed="false">
      <c r="A20" s="2" t="s">
        <v>380</v>
      </c>
      <c r="B20" s="11" t="n">
        <f aca="false">SUM(C20:Z20)</f>
        <v>38023524.0978652</v>
      </c>
      <c r="C20" s="9" t="n">
        <f aca="false">C13*price_b</f>
        <v>57657.6</v>
      </c>
      <c r="D20" s="9" t="n">
        <f aca="false">D13*price_b</f>
        <v>138186.048</v>
      </c>
      <c r="E20" s="9" t="n">
        <f aca="false">E13*price_b</f>
        <v>239984.38464</v>
      </c>
      <c r="F20" s="9" t="n">
        <f aca="false">F13*price_b</f>
        <v>361563.7177152</v>
      </c>
      <c r="G20" s="9" t="n">
        <f aca="false">G13*price_b</f>
        <v>501539.377475136</v>
      </c>
      <c r="H20" s="9" t="n">
        <f aca="false">H13*price_b</f>
        <v>658623.621051876</v>
      </c>
      <c r="I20" s="9" t="n">
        <f aca="false">I13*price_b</f>
        <v>811438.687578245</v>
      </c>
      <c r="J20" s="9" t="n">
        <f aca="false">J13*price_b</f>
        <v>960518.854647768</v>
      </c>
      <c r="K20" s="9" t="n">
        <f aca="false">K13*price_b</f>
        <v>1106369.24065442</v>
      </c>
      <c r="L20" s="9" t="n">
        <f aca="false">L13*price_b</f>
        <v>1249468.13434473</v>
      </c>
      <c r="M20" s="9" t="n">
        <f aca="false">M13*price_b</f>
        <v>1390269.17139549</v>
      </c>
      <c r="N20" s="9" t="n">
        <f aca="false">N13*price_b</f>
        <v>1529203.36907861</v>
      </c>
      <c r="O20" s="9" t="n">
        <f aca="false">O13*price_b</f>
        <v>1666681.02931274</v>
      </c>
      <c r="P20" s="9" t="n">
        <f aca="false">P13*price_b</f>
        <v>1803093.51969292</v>
      </c>
      <c r="Q20" s="9" t="n">
        <f aca="false">Q13*price_b</f>
        <v>1938814.94143161</v>
      </c>
      <c r="R20" s="9" t="n">
        <f aca="false">R13*price_b</f>
        <v>2074203.69253269</v>
      </c>
      <c r="S20" s="9" t="n">
        <f aca="false">S13*price_b</f>
        <v>2209603.93395174</v>
      </c>
      <c r="T20" s="9" t="n">
        <f aca="false">T13*price_b</f>
        <v>2345346.96596783</v>
      </c>
      <c r="U20" s="9" t="n">
        <f aca="false">U13*price_b</f>
        <v>2481752.52150154</v>
      </c>
      <c r="V20" s="9" t="n">
        <f aca="false">V13*price_b</f>
        <v>2619129.98265819</v>
      </c>
      <c r="W20" s="9" t="n">
        <f aca="false">W13*price_b</f>
        <v>2757779.52635203</v>
      </c>
      <c r="X20" s="9" t="n">
        <f aca="false">X13*price_b</f>
        <v>2897993.20447411</v>
      </c>
      <c r="Y20" s="9" t="n">
        <f aca="false">Y13*price_b</f>
        <v>3040055.96370147</v>
      </c>
      <c r="Z20" s="9" t="n">
        <f aca="false">Z13*price_b</f>
        <v>3184246.60970684</v>
      </c>
    </row>
    <row r="21" customFormat="false" ht="15" hidden="false" customHeight="false" outlineLevel="0" collapsed="false">
      <c r="A21" s="2" t="s">
        <v>381</v>
      </c>
      <c r="B21" s="11" t="n">
        <f aca="false">SUM(C21:Z21)</f>
        <v>5488425.93079953</v>
      </c>
      <c r="C21" s="9" t="n">
        <f aca="false">C14*aov_s</f>
        <v>46170</v>
      </c>
      <c r="D21" s="9" t="n">
        <f aca="false">D14*aov_s</f>
        <v>85536</v>
      </c>
      <c r="E21" s="9" t="n">
        <f aca="false">E14*aov_s</f>
        <v>65772</v>
      </c>
      <c r="F21" s="9" t="n">
        <f aca="false">F14*aov_s</f>
        <v>93312</v>
      </c>
      <c r="G21" s="9" t="n">
        <f aca="false">G14*aov_s</f>
        <v>132354</v>
      </c>
      <c r="H21" s="9" t="n">
        <f aca="false">H14*aov_s</f>
        <v>186300</v>
      </c>
      <c r="I21" s="9" t="n">
        <f aca="false">I14*aov_s</f>
        <v>212625</v>
      </c>
      <c r="J21" s="9" t="n">
        <f aca="false">J14*aov_s</f>
        <v>196465.5</v>
      </c>
      <c r="K21" s="9" t="n">
        <f aca="false">K14*aov_s</f>
        <v>168781.725</v>
      </c>
      <c r="L21" s="9" t="n">
        <f aca="false">L14*aov_s</f>
        <v>206757.613125</v>
      </c>
      <c r="M21" s="9" t="n">
        <f aca="false">M14*aov_s</f>
        <v>227433.3744375</v>
      </c>
      <c r="N21" s="9" t="n">
        <f aca="false">N14*aov_s</f>
        <v>217095.49378125</v>
      </c>
      <c r="O21" s="9" t="n">
        <f aca="false">O14*aov_s</f>
        <v>216552.755046797</v>
      </c>
      <c r="P21" s="9" t="n">
        <f aca="false">P14*aov_s</f>
        <v>287217.338272594</v>
      </c>
      <c r="Q21" s="9" t="n">
        <f aca="false">Q14*aov_s</f>
        <v>175920.619691964</v>
      </c>
      <c r="R21" s="9" t="n">
        <f aca="false">R14*aov_s</f>
        <v>211104.743630357</v>
      </c>
      <c r="S21" s="9" t="n">
        <f aca="false">S14*aov_s</f>
        <v>263221.227214101</v>
      </c>
      <c r="T21" s="9" t="n">
        <f aca="false">T14*aov_s</f>
        <v>334568.033537923</v>
      </c>
      <c r="U21" s="9" t="n">
        <f aca="false">U14*aov_s</f>
        <v>378000</v>
      </c>
      <c r="V21" s="9" t="n">
        <f aca="false">V14*aov_s</f>
        <v>352823.811020101</v>
      </c>
      <c r="W21" s="9" t="n">
        <f aca="false">W14*aov_s</f>
        <v>303107.728558178</v>
      </c>
      <c r="X21" s="9" t="n">
        <f aca="false">X14*aov_s</f>
        <v>371306.967483767</v>
      </c>
      <c r="Y21" s="9" t="n">
        <f aca="false">Y14*aov_s</f>
        <v>378000</v>
      </c>
      <c r="Z21" s="9" t="n">
        <f aca="false">Z14*aov_s</f>
        <v>378000</v>
      </c>
    </row>
    <row r="22" customFormat="false" ht="15" hidden="false" customHeight="false" outlineLevel="0" collapsed="false">
      <c r="A22" s="2" t="s">
        <v>382</v>
      </c>
      <c r="B22" s="11" t="n">
        <f aca="false">SUM(C22:Z22)</f>
        <v>6160000</v>
      </c>
      <c r="C22" s="9" t="n">
        <f aca="false">C15*b2b_value</f>
        <v>0</v>
      </c>
      <c r="D22" s="9" t="n">
        <f aca="false">D15*b2b_value</f>
        <v>0</v>
      </c>
      <c r="E22" s="9" t="n">
        <f aca="false">E15*b2b_value</f>
        <v>55000</v>
      </c>
      <c r="F22" s="9" t="n">
        <f aca="false">F15*b2b_value</f>
        <v>55000</v>
      </c>
      <c r="G22" s="9" t="n">
        <f aca="false">G15*b2b_value</f>
        <v>110000</v>
      </c>
      <c r="H22" s="9" t="n">
        <f aca="false">H15*b2b_value</f>
        <v>110000</v>
      </c>
      <c r="I22" s="9" t="n">
        <f aca="false">I15*b2b_value</f>
        <v>165000</v>
      </c>
      <c r="J22" s="9" t="n">
        <f aca="false">J15*b2b_value</f>
        <v>165000</v>
      </c>
      <c r="K22" s="9" t="n">
        <f aca="false">K15*b2b_value</f>
        <v>220000</v>
      </c>
      <c r="L22" s="9" t="n">
        <f aca="false">L15*b2b_value</f>
        <v>220000</v>
      </c>
      <c r="M22" s="9" t="n">
        <f aca="false">M15*b2b_value</f>
        <v>275000</v>
      </c>
      <c r="N22" s="9" t="n">
        <f aca="false">N15*b2b_value</f>
        <v>275000</v>
      </c>
      <c r="O22" s="9" t="n">
        <f aca="false">O15*b2b_value</f>
        <v>330000</v>
      </c>
      <c r="P22" s="9" t="n">
        <f aca="false">P15*b2b_value</f>
        <v>330000</v>
      </c>
      <c r="Q22" s="9" t="n">
        <f aca="false">Q15*b2b_value</f>
        <v>385000</v>
      </c>
      <c r="R22" s="9" t="n">
        <f aca="false">R15*b2b_value</f>
        <v>385000</v>
      </c>
      <c r="S22" s="9" t="n">
        <f aca="false">S15*b2b_value</f>
        <v>385000</v>
      </c>
      <c r="T22" s="9" t="n">
        <f aca="false">T15*b2b_value</f>
        <v>385000</v>
      </c>
      <c r="U22" s="9" t="n">
        <f aca="false">U15*b2b_value</f>
        <v>385000</v>
      </c>
      <c r="V22" s="9" t="n">
        <f aca="false">V15*b2b_value</f>
        <v>385000</v>
      </c>
      <c r="W22" s="9" t="n">
        <f aca="false">W15*b2b_value</f>
        <v>385000</v>
      </c>
      <c r="X22" s="9" t="n">
        <f aca="false">X15*b2b_value</f>
        <v>385000</v>
      </c>
      <c r="Y22" s="9" t="n">
        <f aca="false">Y15*b2b_value</f>
        <v>385000</v>
      </c>
      <c r="Z22" s="9" t="n">
        <f aca="false">Z15*b2b_value</f>
        <v>385000</v>
      </c>
    </row>
    <row r="23" customFormat="false" ht="15" hidden="false" customHeight="false" outlineLevel="0" collapsed="false">
      <c r="A23" s="10" t="s">
        <v>383</v>
      </c>
      <c r="B23" s="11" t="n">
        <f aca="false">SUM(C23:Z23)</f>
        <v>77114079.6826623</v>
      </c>
      <c r="C23" s="11" t="n">
        <f aca="false">SUM(C19:C22)</f>
        <v>334677.6</v>
      </c>
      <c r="D23" s="11" t="n">
        <f aca="false">SUM(D19:D22)</f>
        <v>651402.048</v>
      </c>
      <c r="E23" s="11" t="n">
        <f aca="false">SUM(E19:E22)</f>
        <v>689616.38464</v>
      </c>
      <c r="F23" s="11" t="n">
        <f aca="false">SUM(F19:F22)</f>
        <v>976435.7177152</v>
      </c>
      <c r="G23" s="11" t="n">
        <f aca="false">SUM(G19:G22)</f>
        <v>1405663.37747514</v>
      </c>
      <c r="H23" s="11" t="n">
        <f aca="false">SUM(H19:H22)</f>
        <v>1886423.62105188</v>
      </c>
      <c r="I23" s="11" t="n">
        <f aca="false">SUM(I19:I22)</f>
        <v>2252188.68757825</v>
      </c>
      <c r="J23" s="11" t="n">
        <f aca="false">SUM(J19:J22)</f>
        <v>2304311.85464777</v>
      </c>
      <c r="K23" s="11" t="n">
        <f aca="false">SUM(K19:K22)</f>
        <v>2339059.59065442</v>
      </c>
      <c r="L23" s="11" t="n">
        <f aca="false">SUM(L19:L22)</f>
        <v>2710013.81309473</v>
      </c>
      <c r="M23" s="11" t="n">
        <f aca="false">SUM(M19:M22)</f>
        <v>3029869.41802049</v>
      </c>
      <c r="N23" s="11" t="n">
        <f aca="false">SUM(N19:N22)</f>
        <v>3106776.33176611</v>
      </c>
      <c r="O23" s="11" t="n">
        <f aca="false">SUM(O19:O22)</f>
        <v>3295997.55959352</v>
      </c>
      <c r="P23" s="11" t="n">
        <f aca="false">SUM(P19:P22)</f>
        <v>3856397.54932848</v>
      </c>
      <c r="Q23" s="11" t="n">
        <f aca="false">SUM(Q19:Q22)</f>
        <v>3379338.65958339</v>
      </c>
      <c r="R23" s="11" t="n">
        <f aca="false">SUM(R19:R22)</f>
        <v>3725832.15431483</v>
      </c>
      <c r="S23" s="11" t="n">
        <f aca="false">SUM(S19:S22)</f>
        <v>4173931.29723634</v>
      </c>
      <c r="T23" s="11" t="n">
        <f aca="false">SUM(T19:T22)</f>
        <v>4737755.16719537</v>
      </c>
      <c r="U23" s="11" t="n">
        <f aca="false">SUM(U19:U22)</f>
        <v>5134752.52150154</v>
      </c>
      <c r="V23" s="11" t="n">
        <f aca="false">SUM(V19:V22)</f>
        <v>5121072.84877879</v>
      </c>
      <c r="W23" s="11" t="n">
        <f aca="false">SUM(W19:W22)</f>
        <v>4961425.8977011</v>
      </c>
      <c r="X23" s="11" t="n">
        <f aca="false">SUM(X19:X22)</f>
        <v>5510835.00937671</v>
      </c>
      <c r="Y23" s="11" t="n">
        <f aca="false">SUM(Y19:Y22)</f>
        <v>5693055.96370147</v>
      </c>
      <c r="Z23" s="11" t="n">
        <f aca="false">SUM(Z19:Z22)</f>
        <v>5837246.60970684</v>
      </c>
    </row>
    <row r="24" customFormat="false" ht="15" hidden="false" customHeight="false" outlineLevel="0" collapsed="false">
      <c r="A24" s="2" t="s">
        <v>384</v>
      </c>
      <c r="B24" s="11" t="n">
        <f aca="false">SUM(C24:Z24)</f>
        <v>46646401.9496363</v>
      </c>
      <c r="C24" s="9" t="n">
        <f aca="false">C10*var_a+C13*var_b+C14*var_s+C15*b2b_direct</f>
        <v>192340.998</v>
      </c>
      <c r="D24" s="9" t="n">
        <f aca="false">D10*var_a+D13*var_b+D14*var_s+D15*b2b_direct</f>
        <v>376054.82304</v>
      </c>
      <c r="E24" s="9" t="n">
        <f aca="false">E10*var_a+E13*var_b+E14*var_s+E15*b2b_direct</f>
        <v>410624.7798272</v>
      </c>
      <c r="F24" s="9" t="n">
        <f aca="false">F10*var_a+F13*var_b+F14*var_s+F15*b2b_direct</f>
        <v>580160.418639296</v>
      </c>
      <c r="G24" s="9" t="n">
        <f aca="false">G10*var_a+G13*var_b+G14*var_s+G15*b2b_direct</f>
        <v>837547.424134545</v>
      </c>
      <c r="H24" s="9" t="n">
        <f aca="false">H10*var_a+H13*var_b+H14*var_s+H15*b2b_direct</f>
        <v>1118678.22934513</v>
      </c>
      <c r="I24" s="9" t="n">
        <f aca="false">I10*var_a+I13*var_b+I14*var_s+I15*b2b_direct</f>
        <v>1341140.86889097</v>
      </c>
      <c r="J24" s="9" t="n">
        <f aca="false">J10*var_a+J13*var_b+J14*var_s+J15*b2b_direct</f>
        <v>1380218.7979146</v>
      </c>
      <c r="K24" s="9" t="n">
        <f aca="false">K10*var_a+K13*var_b+K14*var_s+K15*b2b_direct</f>
        <v>1415703.76191994</v>
      </c>
      <c r="L24" s="9" t="n">
        <f aca="false">L10*var_a+L13*var_b+L14*var_s+L15*b2b_direct</f>
        <v>1634049.59135386</v>
      </c>
      <c r="M24" s="9" t="n">
        <f aca="false">M10*var_a+M13*var_b+M14*var_s+M15*b2b_direct</f>
        <v>1829860.53762817</v>
      </c>
      <c r="N24" s="9" t="n">
        <f aca="false">N10*var_a+N13*var_b+N14*var_s+N15*b2b_direct</f>
        <v>1882243.1598755</v>
      </c>
      <c r="O24" s="9" t="n">
        <f aca="false">O10*var_a+O13*var_b+O14*var_s+O15*b2b_direct</f>
        <v>2004226.84991681</v>
      </c>
      <c r="P24" s="9" t="n">
        <f aca="false">P10*var_a+P13*var_b+P14*var_s+P15*b2b_direct</f>
        <v>2328887.65362934</v>
      </c>
      <c r="Q24" s="9" t="n">
        <f aca="false">Q10*var_a+Q13*var_b+Q14*var_s+Q15*b2b_direct</f>
        <v>2075316.36783471</v>
      </c>
      <c r="R24" s="9" t="n">
        <f aca="false">R10*var_a+R13*var_b+R14*var_s+R15*b2b_direct</f>
        <v>2279376.84293605</v>
      </c>
      <c r="S24" s="9" t="n">
        <f aca="false">S10*var_a+S13*var_b+S14*var_s+S15*b2b_direct</f>
        <v>2540691.59457941</v>
      </c>
      <c r="T24" s="9" t="n">
        <f aca="false">T10*var_a+T13*var_b+T14*var_s+T15*b2b_direct</f>
        <v>2867238.12158734</v>
      </c>
      <c r="U24" s="9" t="n">
        <f aca="false">U10*var_a+U13*var_b+U14*var_s+U15*b2b_direct</f>
        <v>3099823.10599841</v>
      </c>
      <c r="V24" s="9" t="n">
        <f aca="false">V10*var_a+V13*var_b+V14*var_s+V15*b2b_direct</f>
        <v>3101059.94017964</v>
      </c>
      <c r="W24" s="9" t="n">
        <f aca="false">W10*var_a+W13*var_b+W14*var_s+W15*b2b_direct</f>
        <v>3020128.84513005</v>
      </c>
      <c r="X24" s="9" t="n">
        <f aca="false">X10*var_a+X13*var_b+X14*var_s+X15*b2b_direct</f>
        <v>3338843.93431258</v>
      </c>
      <c r="Y24" s="9" t="n">
        <f aca="false">Y10*var_a+Y13*var_b+Y14*var_s+Y15*b2b_direct</f>
        <v>3450773.43060927</v>
      </c>
      <c r="Z24" s="9" t="n">
        <f aca="false">Z10*var_a+Z13*var_b+Z14*var_s+Z15*b2b_direct</f>
        <v>3541411.87235348</v>
      </c>
    </row>
    <row r="25" customFormat="false" ht="15" hidden="false" customHeight="false" outlineLevel="0" collapsed="false">
      <c r="A25" s="10" t="s">
        <v>285</v>
      </c>
      <c r="B25" s="11" t="n">
        <f aca="false">SUM(C25:Z25)</f>
        <v>30467677.7330261</v>
      </c>
      <c r="C25" s="11" t="n">
        <f aca="false">C23-C24</f>
        <v>142336.602</v>
      </c>
      <c r="D25" s="11" t="n">
        <f aca="false">D23-D24</f>
        <v>275347.22496</v>
      </c>
      <c r="E25" s="11" t="n">
        <f aca="false">E23-E24</f>
        <v>278991.6048128</v>
      </c>
      <c r="F25" s="11" t="n">
        <f aca="false">F23-F24</f>
        <v>396275.299075904</v>
      </c>
      <c r="G25" s="11" t="n">
        <f aca="false">G23-G24</f>
        <v>568115.953340591</v>
      </c>
      <c r="H25" s="11" t="n">
        <f aca="false">H23-H24</f>
        <v>767745.391706749</v>
      </c>
      <c r="I25" s="11" t="n">
        <f aca="false">I23-I24</f>
        <v>911047.818687277</v>
      </c>
      <c r="J25" s="11" t="n">
        <f aca="false">J23-J24</f>
        <v>924093.056733168</v>
      </c>
      <c r="K25" s="11" t="n">
        <f aca="false">K23-K24</f>
        <v>923355.828734486</v>
      </c>
      <c r="L25" s="11" t="n">
        <f aca="false">L23-L24</f>
        <v>1075964.22174088</v>
      </c>
      <c r="M25" s="11" t="n">
        <f aca="false">M23-M24</f>
        <v>1200008.88039231</v>
      </c>
      <c r="N25" s="11" t="n">
        <f aca="false">N23-N24</f>
        <v>1224533.17189061</v>
      </c>
      <c r="O25" s="11" t="n">
        <f aca="false">O23-O24</f>
        <v>1291770.70967671</v>
      </c>
      <c r="P25" s="11" t="n">
        <f aca="false">P23-P24</f>
        <v>1527509.89569914</v>
      </c>
      <c r="Q25" s="11" t="n">
        <f aca="false">Q23-Q24</f>
        <v>1304022.29174868</v>
      </c>
      <c r="R25" s="11" t="n">
        <f aca="false">R23-R24</f>
        <v>1446455.31137878</v>
      </c>
      <c r="S25" s="11" t="n">
        <f aca="false">S23-S24</f>
        <v>1633239.70265694</v>
      </c>
      <c r="T25" s="11" t="n">
        <f aca="false">T23-T24</f>
        <v>1870517.04560802</v>
      </c>
      <c r="U25" s="11" t="n">
        <f aca="false">U23-U24</f>
        <v>2034929.41550312</v>
      </c>
      <c r="V25" s="11" t="n">
        <f aca="false">V23-V24</f>
        <v>2020012.90859915</v>
      </c>
      <c r="W25" s="11" t="n">
        <f aca="false">W23-W24</f>
        <v>1941297.05257105</v>
      </c>
      <c r="X25" s="11" t="n">
        <f aca="false">X23-X24</f>
        <v>2171991.07506414</v>
      </c>
      <c r="Y25" s="11" t="n">
        <f aca="false">Y23-Y24</f>
        <v>2242282.5330922</v>
      </c>
      <c r="Z25" s="11" t="n">
        <f aca="false">Z23-Z24</f>
        <v>2295834.73735336</v>
      </c>
    </row>
    <row r="26" customFormat="false" ht="15" hidden="false" customHeight="false" outlineLevel="0" collapsed="false">
      <c r="A26" s="2" t="s">
        <v>385</v>
      </c>
      <c r="B26" s="11" t="n">
        <f aca="false">SUM(C26:Z26)</f>
        <v>3983469.45227588</v>
      </c>
      <c r="C26" s="9" t="n">
        <f aca="false">C10*sc_cac_a_O+C11*sc_cac_b_O+C14*sc_cac_s_O</f>
        <v>36204</v>
      </c>
      <c r="D26" s="9" t="n">
        <f aca="false">D10*sc_cac_a_O+D11*sc_cac_b_O+D14*sc_cac_s_O</f>
        <v>61283.2</v>
      </c>
      <c r="E26" s="9" t="n">
        <f aca="false">E10*sc_cac_a_O+E11*sc_cac_b_O+E14*sc_cac_s_O</f>
        <v>59206.4</v>
      </c>
      <c r="F26" s="9" t="n">
        <f aca="false">F10*sc_cac_a_O+F11*sc_cac_b_O+F14*sc_cac_s_O</f>
        <v>78854.4</v>
      </c>
      <c r="G26" s="9" t="n">
        <f aca="false">G10*sc_cac_a_O+G11*sc_cac_b_O+G14*sc_cac_s_O</f>
        <v>103784.8</v>
      </c>
      <c r="H26" s="9" t="n">
        <f aca="false">H10*sc_cac_a_O+H11*sc_cac_b_O+H14*sc_cac_s_O</f>
        <v>135560</v>
      </c>
      <c r="I26" s="9" t="n">
        <f aca="false">I10*sc_cac_a_O+I11*sc_cac_b_O+I14*sc_cac_s_O</f>
        <v>149400</v>
      </c>
      <c r="J26" s="9" t="n">
        <f aca="false">J10*sc_cac_a_O+J11*sc_cac_b_O+J14*sc_cac_s_O</f>
        <v>143789.85</v>
      </c>
      <c r="K26" s="9" t="n">
        <f aca="false">K10*sc_cac_a_O+K11*sc_cac_b_O+K14*sc_cac_s_O</f>
        <v>132950.46375</v>
      </c>
      <c r="L26" s="9" t="n">
        <f aca="false">L10*sc_cac_a_O+L11*sc_cac_b_O+L14*sc_cac_s_O</f>
        <v>152331.49828125</v>
      </c>
      <c r="M26" s="9" t="n">
        <f aca="false">M10*sc_cac_a_O+M11*sc_cac_b_O+M14*sc_cac_s_O</f>
        <v>163835.198357344</v>
      </c>
      <c r="N26" s="9" t="n">
        <f aca="false">N10*sc_cac_a_O+N11*sc_cac_b_O+N14*sc_cac_s_O</f>
        <v>161165.881979726</v>
      </c>
      <c r="O26" s="9" t="n">
        <f aca="false">O10*sc_cac_a_O+O11*sc_cac_b_O+O14*sc_cac_s_O</f>
        <v>163067.821011672</v>
      </c>
      <c r="P26" s="9" t="n">
        <f aca="false">P10*sc_cac_a_O+P11*sc_cac_b_O+P14*sc_cac_s_O</f>
        <v>197747.673869658</v>
      </c>
      <c r="Q26" s="9" t="n">
        <f aca="false">Q10*sc_cac_a_O+Q11*sc_cac_b_O+Q14*sc_cac_s_O</f>
        <v>148938.041151017</v>
      </c>
      <c r="R26" s="9" t="n">
        <f aca="false">R10*sc_cac_a_O+R11*sc_cac_b_O+R14*sc_cac_s_O</f>
        <v>167481.746216849</v>
      </c>
      <c r="S26" s="9" t="n">
        <f aca="false">S10*sc_cac_a_O+S11*sc_cac_b_O+S14*sc_cac_s_O</f>
        <v>193885.271693804</v>
      </c>
      <c r="T26" s="9" t="n">
        <f aca="false">T10*sc_cac_a_O+T11*sc_cac_b_O+T14*sc_cac_s_O</f>
        <v>229206.900121771</v>
      </c>
      <c r="U26" s="9" t="n">
        <f aca="false">U10*sc_cac_a_O+U11*sc_cac_b_O+U14*sc_cac_s_O</f>
        <v>251797.803017674</v>
      </c>
      <c r="V26" s="9" t="n">
        <f aca="false">V10*sc_cac_a_O+V11*sc_cac_b_O+V14*sc_cac_s_O</f>
        <v>242972.328221413</v>
      </c>
      <c r="W26" s="9" t="n">
        <f aca="false">W10*sc_cac_a_O+W11*sc_cac_b_O+W14*sc_cac_s_O</f>
        <v>222972.472430993</v>
      </c>
      <c r="X26" s="9" t="n">
        <f aca="false">X10*sc_cac_a_O+X11*sc_cac_b_O+X14*sc_cac_s_O</f>
        <v>257225.464835821</v>
      </c>
      <c r="Y26" s="9" t="n">
        <f aca="false">Y10*sc_cac_a_O+Y11*sc_cac_b_O+Y14*sc_cac_s_O</f>
        <v>263333.777561124</v>
      </c>
      <c r="Z26" s="9" t="n">
        <f aca="false">Z10*sc_cac_a_O+Z11*sc_cac_b_O+Z14*sc_cac_s_O</f>
        <v>266474.459775763</v>
      </c>
    </row>
    <row r="27" customFormat="false" ht="15" hidden="false" customHeight="false" outlineLevel="0" collapsed="false">
      <c r="A27" s="2" t="s">
        <v>386</v>
      </c>
      <c r="B27" s="11" t="n">
        <f aca="false">SUM(C27:Z27)</f>
        <v>7110400</v>
      </c>
      <c r="C27" s="9" t="n">
        <f aca="false">fix_base+fix_step_cost*INT(C23/fix_rev_step)</f>
        <v>179600</v>
      </c>
      <c r="D27" s="9" t="n">
        <f aca="false">fix_base+fix_step_cost*INT(D23/fix_rev_step)</f>
        <v>179600</v>
      </c>
      <c r="E27" s="9" t="n">
        <f aca="false">fix_base+fix_step_cost*INT(E23/fix_rev_step)</f>
        <v>179600</v>
      </c>
      <c r="F27" s="9" t="n">
        <f aca="false">fix_base+fix_step_cost*INT(F23/fix_rev_step)</f>
        <v>179600</v>
      </c>
      <c r="G27" s="9" t="n">
        <f aca="false">fix_base+fix_step_cost*INT(G23/fix_rev_step)</f>
        <v>179600</v>
      </c>
      <c r="H27" s="9" t="n">
        <f aca="false">fix_base+fix_step_cost*INT(H23/fix_rev_step)</f>
        <v>249600</v>
      </c>
      <c r="I27" s="9" t="n">
        <f aca="false">fix_base+fix_step_cost*INT(I23/fix_rev_step)</f>
        <v>249600</v>
      </c>
      <c r="J27" s="9" t="n">
        <f aca="false">fix_base+fix_step_cost*INT(J23/fix_rev_step)</f>
        <v>249600</v>
      </c>
      <c r="K27" s="9" t="n">
        <f aca="false">fix_base+fix_step_cost*INT(K23/fix_rev_step)</f>
        <v>249600</v>
      </c>
      <c r="L27" s="9" t="n">
        <f aca="false">fix_base+fix_step_cost*INT(L23/fix_rev_step)</f>
        <v>249600</v>
      </c>
      <c r="M27" s="9" t="n">
        <f aca="false">fix_base+fix_step_cost*INT(M23/fix_rev_step)</f>
        <v>319600</v>
      </c>
      <c r="N27" s="9" t="n">
        <f aca="false">fix_base+fix_step_cost*INT(N23/fix_rev_step)</f>
        <v>319600</v>
      </c>
      <c r="O27" s="9" t="n">
        <f aca="false">fix_base+fix_step_cost*INT(O23/fix_rev_step)</f>
        <v>319600</v>
      </c>
      <c r="P27" s="9" t="n">
        <f aca="false">fix_base+fix_step_cost*INT(P23/fix_rev_step)</f>
        <v>319600</v>
      </c>
      <c r="Q27" s="9" t="n">
        <f aca="false">fix_base+fix_step_cost*INT(Q23/fix_rev_step)</f>
        <v>319600</v>
      </c>
      <c r="R27" s="9" t="n">
        <f aca="false">fix_base+fix_step_cost*INT(R23/fix_rev_step)</f>
        <v>319600</v>
      </c>
      <c r="S27" s="9" t="n">
        <f aca="false">fix_base+fix_step_cost*INT(S23/fix_rev_step)</f>
        <v>319600</v>
      </c>
      <c r="T27" s="9" t="n">
        <f aca="false">fix_base+fix_step_cost*INT(T23/fix_rev_step)</f>
        <v>389600</v>
      </c>
      <c r="U27" s="9" t="n">
        <f aca="false">fix_base+fix_step_cost*INT(U23/fix_rev_step)</f>
        <v>389600</v>
      </c>
      <c r="V27" s="9" t="n">
        <f aca="false">fix_base+fix_step_cost*INT(V23/fix_rev_step)</f>
        <v>389600</v>
      </c>
      <c r="W27" s="9" t="n">
        <f aca="false">fix_base+fix_step_cost*INT(W23/fix_rev_step)</f>
        <v>389600</v>
      </c>
      <c r="X27" s="9" t="n">
        <f aca="false">fix_base+fix_step_cost*INT(X23/fix_rev_step)</f>
        <v>389600</v>
      </c>
      <c r="Y27" s="9" t="n">
        <f aca="false">fix_base+fix_step_cost*INT(Y23/fix_rev_step)</f>
        <v>389600</v>
      </c>
      <c r="Z27" s="9" t="n">
        <f aca="false">fix_base+fix_step_cost*INT(Z23/fix_rev_step)</f>
        <v>389600</v>
      </c>
    </row>
    <row r="28" customFormat="false" ht="15" hidden="false" customHeight="false" outlineLevel="0" collapsed="false">
      <c r="A28" s="2" t="s">
        <v>387</v>
      </c>
      <c r="C28" s="26" t="n">
        <f aca="false">IF(OR(SUMIFS($C$23:$Z$23,$C$4:$Z$4,C4-1)&gt;vat_threshold,SUMIFS($C$23:$Z$23,$C$4:$Z$4,C4,$C$3:$Z$3,"&lt;"&amp;C3)&gt;vat_threshold),1,0)</f>
        <v>0</v>
      </c>
      <c r="D28" s="26" t="n">
        <f aca="false">IF(OR(SUMIFS($C$23:$Z$23,$C$4:$Z$4,D4-1)&gt;vat_threshold,SUMIFS($C$23:$Z$23,$C$4:$Z$4,D4,$C$3:$Z$3,"&lt;"&amp;D3)&gt;vat_threshold),1,0)</f>
        <v>0</v>
      </c>
      <c r="E28" s="26" t="n">
        <f aca="false">IF(OR(SUMIFS($C$23:$Z$23,$C$4:$Z$4,E4-1)&gt;vat_threshold,SUMIFS($C$23:$Z$23,$C$4:$Z$4,E4,$C$3:$Z$3,"&lt;"&amp;E3)&gt;vat_threshold),1,0)</f>
        <v>0</v>
      </c>
      <c r="F28" s="26" t="n">
        <f aca="false">IF(OR(SUMIFS($C$23:$Z$23,$C$4:$Z$4,F4-1)&gt;vat_threshold,SUMIFS($C$23:$Z$23,$C$4:$Z$4,F4,$C$3:$Z$3,"&lt;"&amp;F3)&gt;vat_threshold),1,0)</f>
        <v>0</v>
      </c>
      <c r="G28" s="26" t="n">
        <f aca="false">IF(OR(SUMIFS($C$23:$Z$23,$C$4:$Z$4,G4-1)&gt;vat_threshold,SUMIFS($C$23:$Z$23,$C$4:$Z$4,G4,$C$3:$Z$3,"&lt;"&amp;G3)&gt;vat_threshold),1,0)</f>
        <v>0</v>
      </c>
      <c r="H28" s="26" t="n">
        <f aca="false">IF(OR(SUMIFS($C$23:$Z$23,$C$4:$Z$4,H4-1)&gt;vat_threshold,SUMIFS($C$23:$Z$23,$C$4:$Z$4,H4,$C$3:$Z$3,"&lt;"&amp;H3)&gt;vat_threshold),1,0)</f>
        <v>0</v>
      </c>
      <c r="I28" s="26" t="n">
        <f aca="false">IF(OR(SUMIFS($C$23:$Z$23,$C$4:$Z$4,I4-1)&gt;vat_threshold,SUMIFS($C$23:$Z$23,$C$4:$Z$4,I4,$C$3:$Z$3,"&lt;"&amp;I3)&gt;vat_threshold),1,0)</f>
        <v>0</v>
      </c>
      <c r="J28" s="26" t="n">
        <f aca="false">IF(OR(SUMIFS($C$23:$Z$23,$C$4:$Z$4,J4-1)&gt;vat_threshold,SUMIFS($C$23:$Z$23,$C$4:$Z$4,J4,$C$3:$Z$3,"&lt;"&amp;J3)&gt;vat_threshold),1,0)</f>
        <v>0</v>
      </c>
      <c r="K28" s="26" t="n">
        <f aca="false">IF(OR(SUMIFS($C$23:$Z$23,$C$4:$Z$4,K4-1)&gt;vat_threshold,SUMIFS($C$23:$Z$23,$C$4:$Z$4,K4,$C$3:$Z$3,"&lt;"&amp;K3)&gt;vat_threshold),1,0)</f>
        <v>0</v>
      </c>
      <c r="L28" s="26" t="n">
        <f aca="false">IF(OR(SUMIFS($C$23:$Z$23,$C$4:$Z$4,L4-1)&gt;vat_threshold,SUMIFS($C$23:$Z$23,$C$4:$Z$4,L4,$C$3:$Z$3,"&lt;"&amp;L3)&gt;vat_threshold),1,0)</f>
        <v>0</v>
      </c>
      <c r="M28" s="26" t="n">
        <f aca="false">IF(OR(SUMIFS($C$23:$Z$23,$C$4:$Z$4,M4-1)&gt;vat_threshold,SUMIFS($C$23:$Z$23,$C$4:$Z$4,M4,$C$3:$Z$3,"&lt;"&amp;M3)&gt;vat_threshold),1,0)</f>
        <v>0</v>
      </c>
      <c r="N28" s="26" t="n">
        <f aca="false">IF(OR(SUMIFS($C$23:$Z$23,$C$4:$Z$4,N4-1)&gt;vat_threshold,SUMIFS($C$23:$Z$23,$C$4:$Z$4,N4,$C$3:$Z$3,"&lt;"&amp;N3)&gt;vat_threshold),1,0)</f>
        <v>0</v>
      </c>
      <c r="O28" s="26" t="n">
        <f aca="false">IF(OR(SUMIFS($C$23:$Z$23,$C$4:$Z$4,O4-1)&gt;vat_threshold,SUMIFS($C$23:$Z$23,$C$4:$Z$4,O4,$C$3:$Z$3,"&lt;"&amp;O3)&gt;vat_threshold),1,0)</f>
        <v>1</v>
      </c>
      <c r="P28" s="26" t="n">
        <f aca="false">IF(OR(SUMIFS($C$23:$Z$23,$C$4:$Z$4,P4-1)&gt;vat_threshold,SUMIFS($C$23:$Z$23,$C$4:$Z$4,P4,$C$3:$Z$3,"&lt;"&amp;P3)&gt;vat_threshold),1,0)</f>
        <v>1</v>
      </c>
      <c r="Q28" s="26" t="n">
        <f aca="false">IF(OR(SUMIFS($C$23:$Z$23,$C$4:$Z$4,Q4-1)&gt;vat_threshold,SUMIFS($C$23:$Z$23,$C$4:$Z$4,Q4,$C$3:$Z$3,"&lt;"&amp;Q3)&gt;vat_threshold),1,0)</f>
        <v>1</v>
      </c>
      <c r="R28" s="26" t="n">
        <f aca="false">IF(OR(SUMIFS($C$23:$Z$23,$C$4:$Z$4,R4-1)&gt;vat_threshold,SUMIFS($C$23:$Z$23,$C$4:$Z$4,R4,$C$3:$Z$3,"&lt;"&amp;R3)&gt;vat_threshold),1,0)</f>
        <v>1</v>
      </c>
      <c r="S28" s="26" t="n">
        <f aca="false">IF(OR(SUMIFS($C$23:$Z$23,$C$4:$Z$4,S4-1)&gt;vat_threshold,SUMIFS($C$23:$Z$23,$C$4:$Z$4,S4,$C$3:$Z$3,"&lt;"&amp;S3)&gt;vat_threshold),1,0)</f>
        <v>1</v>
      </c>
      <c r="T28" s="26" t="n">
        <f aca="false">IF(OR(SUMIFS($C$23:$Z$23,$C$4:$Z$4,T4-1)&gt;vat_threshold,SUMIFS($C$23:$Z$23,$C$4:$Z$4,T4,$C$3:$Z$3,"&lt;"&amp;T3)&gt;vat_threshold),1,0)</f>
        <v>1</v>
      </c>
      <c r="U28" s="26" t="n">
        <f aca="false">IF(OR(SUMIFS($C$23:$Z$23,$C$4:$Z$4,U4-1)&gt;vat_threshold,SUMIFS($C$23:$Z$23,$C$4:$Z$4,U4,$C$3:$Z$3,"&lt;"&amp;U3)&gt;vat_threshold),1,0)</f>
        <v>1</v>
      </c>
      <c r="V28" s="26" t="n">
        <f aca="false">IF(OR(SUMIFS($C$23:$Z$23,$C$4:$Z$4,V4-1)&gt;vat_threshold,SUMIFS($C$23:$Z$23,$C$4:$Z$4,V4,$C$3:$Z$3,"&lt;"&amp;V3)&gt;vat_threshold),1,0)</f>
        <v>1</v>
      </c>
      <c r="W28" s="26" t="n">
        <f aca="false">IF(OR(SUMIFS($C$23:$Z$23,$C$4:$Z$4,W4-1)&gt;vat_threshold,SUMIFS($C$23:$Z$23,$C$4:$Z$4,W4,$C$3:$Z$3,"&lt;"&amp;W3)&gt;vat_threshold),1,0)</f>
        <v>1</v>
      </c>
      <c r="X28" s="26" t="n">
        <f aca="false">IF(OR(SUMIFS($C$23:$Z$23,$C$4:$Z$4,X4-1)&gt;vat_threshold,SUMIFS($C$23:$Z$23,$C$4:$Z$4,X4,$C$3:$Z$3,"&lt;"&amp;X3)&gt;vat_threshold),1,0)</f>
        <v>1</v>
      </c>
      <c r="Y28" s="26" t="n">
        <f aca="false">IF(OR(SUMIFS($C$23:$Z$23,$C$4:$Z$4,Y4-1)&gt;vat_threshold,SUMIFS($C$23:$Z$23,$C$4:$Z$4,Y4,$C$3:$Z$3,"&lt;"&amp;Y3)&gt;vat_threshold),1,0)</f>
        <v>1</v>
      </c>
      <c r="Z28" s="26" t="n">
        <f aca="false">IF(OR(SUMIFS($C$23:$Z$23,$C$4:$Z$4,Z4-1)&gt;vat_threshold,SUMIFS($C$23:$Z$23,$C$4:$Z$4,Z4,$C$3:$Z$3,"&lt;"&amp;Z3)&gt;vat_threshold),1,0)</f>
        <v>1</v>
      </c>
    </row>
    <row r="29" customFormat="false" ht="15" hidden="false" customHeight="false" outlineLevel="0" collapsed="false">
      <c r="A29" s="2" t="s">
        <v>388</v>
      </c>
      <c r="B29" s="11" t="n">
        <f aca="false">SUM(C29:Z29)</f>
        <v>2639411.48752468</v>
      </c>
      <c r="C29" s="9" t="n">
        <f aca="false">C23*vat_rate/(1+vat_rate)*C28</f>
        <v>0</v>
      </c>
      <c r="D29" s="9" t="n">
        <f aca="false">D23*vat_rate/(1+vat_rate)*D28</f>
        <v>0</v>
      </c>
      <c r="E29" s="9" t="n">
        <f aca="false">E23*vat_rate/(1+vat_rate)*E28</f>
        <v>0</v>
      </c>
      <c r="F29" s="9" t="n">
        <f aca="false">F23*vat_rate/(1+vat_rate)*F28</f>
        <v>0</v>
      </c>
      <c r="G29" s="9" t="n">
        <f aca="false">G23*vat_rate/(1+vat_rate)*G28</f>
        <v>0</v>
      </c>
      <c r="H29" s="9" t="n">
        <f aca="false">H23*vat_rate/(1+vat_rate)*H28</f>
        <v>0</v>
      </c>
      <c r="I29" s="9" t="n">
        <f aca="false">I23*vat_rate/(1+vat_rate)*I28</f>
        <v>0</v>
      </c>
      <c r="J29" s="9" t="n">
        <f aca="false">J23*vat_rate/(1+vat_rate)*J28</f>
        <v>0</v>
      </c>
      <c r="K29" s="9" t="n">
        <f aca="false">K23*vat_rate/(1+vat_rate)*K28</f>
        <v>0</v>
      </c>
      <c r="L29" s="9" t="n">
        <f aca="false">L23*vat_rate/(1+vat_rate)*L28</f>
        <v>0</v>
      </c>
      <c r="M29" s="9" t="n">
        <f aca="false">M23*vat_rate/(1+vat_rate)*M28</f>
        <v>0</v>
      </c>
      <c r="N29" s="9" t="n">
        <f aca="false">N23*vat_rate/(1+vat_rate)*N28</f>
        <v>0</v>
      </c>
      <c r="O29" s="9" t="n">
        <f aca="false">O23*vat_rate/(1+vat_rate)*O28</f>
        <v>156952.264742549</v>
      </c>
      <c r="P29" s="9" t="n">
        <f aca="false">P23*vat_rate/(1+vat_rate)*P28</f>
        <v>183637.978539451</v>
      </c>
      <c r="Q29" s="9" t="n">
        <f aca="false">Q23*vat_rate/(1+vat_rate)*Q28</f>
        <v>160920.88855159</v>
      </c>
      <c r="R29" s="9" t="n">
        <f aca="false">R23*vat_rate/(1+vat_rate)*R28</f>
        <v>177420.578776897</v>
      </c>
      <c r="S29" s="9" t="n">
        <f aca="false">S23*vat_rate/(1+vat_rate)*S28</f>
        <v>198758.633201731</v>
      </c>
      <c r="T29" s="9" t="n">
        <f aca="false">T23*vat_rate/(1+vat_rate)*T28</f>
        <v>225607.388914065</v>
      </c>
      <c r="U29" s="9" t="n">
        <f aca="false">U23*vat_rate/(1+vat_rate)*U28</f>
        <v>244512.024833407</v>
      </c>
      <c r="V29" s="9" t="n">
        <f aca="false">V23*vat_rate/(1+vat_rate)*V28</f>
        <v>243860.611846609</v>
      </c>
      <c r="W29" s="9" t="n">
        <f aca="false">W23*vat_rate/(1+vat_rate)*W28</f>
        <v>236258.376081005</v>
      </c>
      <c r="X29" s="9" t="n">
        <f aca="false">X23*vat_rate/(1+vat_rate)*X28</f>
        <v>262420.714732224</v>
      </c>
      <c r="Y29" s="9" t="n">
        <f aca="false">Y23*vat_rate/(1+vat_rate)*Y28</f>
        <v>271097.903033403</v>
      </c>
      <c r="Z29" s="9" t="n">
        <f aca="false">Z23*vat_rate/(1+vat_rate)*Z28</f>
        <v>277964.124271754</v>
      </c>
    </row>
    <row r="30" customFormat="false" ht="15" hidden="false" customHeight="false" outlineLevel="0" collapsed="false">
      <c r="A30" s="2" t="s">
        <v>286</v>
      </c>
      <c r="B30" s="11" t="n">
        <f aca="false">SUM(C30:Z30)</f>
        <v>4468480.09170826</v>
      </c>
      <c r="C30" s="9" t="n">
        <f aca="false">(C23-C29)*usn_rate</f>
        <v>20080.656</v>
      </c>
      <c r="D30" s="9" t="n">
        <f aca="false">(D23-D29)*usn_rate</f>
        <v>39084.12288</v>
      </c>
      <c r="E30" s="9" t="n">
        <f aca="false">(E23-E29)*usn_rate</f>
        <v>41376.9830784</v>
      </c>
      <c r="F30" s="9" t="n">
        <f aca="false">(F23-F29)*usn_rate</f>
        <v>58586.143062912</v>
      </c>
      <c r="G30" s="9" t="n">
        <f aca="false">(G23-G29)*usn_rate</f>
        <v>84339.8026485081</v>
      </c>
      <c r="H30" s="9" t="n">
        <f aca="false">(H23-H29)*usn_rate</f>
        <v>113185.417263113</v>
      </c>
      <c r="I30" s="9" t="n">
        <f aca="false">(I23-I29)*usn_rate</f>
        <v>135131.321254695</v>
      </c>
      <c r="J30" s="9" t="n">
        <f aca="false">(J23-J29)*usn_rate</f>
        <v>138258.711278866</v>
      </c>
      <c r="K30" s="9" t="n">
        <f aca="false">(K23-K29)*usn_rate</f>
        <v>140343.575439265</v>
      </c>
      <c r="L30" s="9" t="n">
        <f aca="false">(L23-L29)*usn_rate</f>
        <v>162600.828785684</v>
      </c>
      <c r="M30" s="9" t="n">
        <f aca="false">(M23-M29)*usn_rate</f>
        <v>181792.165081229</v>
      </c>
      <c r="N30" s="9" t="n">
        <f aca="false">(N23-N29)*usn_rate</f>
        <v>186406.579905966</v>
      </c>
      <c r="O30" s="9" t="n">
        <f aca="false">(O23-O29)*usn_rate</f>
        <v>188342.717691058</v>
      </c>
      <c r="P30" s="9" t="n">
        <f aca="false">(P23-P29)*usn_rate</f>
        <v>220365.574247342</v>
      </c>
      <c r="Q30" s="9" t="n">
        <f aca="false">(Q23-Q29)*usn_rate</f>
        <v>193105.066261908</v>
      </c>
      <c r="R30" s="9" t="n">
        <f aca="false">(R23-R29)*usn_rate</f>
        <v>212904.694532276</v>
      </c>
      <c r="S30" s="9" t="n">
        <f aca="false">(S23-S29)*usn_rate</f>
        <v>238510.359842077</v>
      </c>
      <c r="T30" s="9" t="n">
        <f aca="false">(T23-T29)*usn_rate</f>
        <v>270728.866696878</v>
      </c>
      <c r="U30" s="9" t="n">
        <f aca="false">(U23-U29)*usn_rate</f>
        <v>293414.429800088</v>
      </c>
      <c r="V30" s="9" t="n">
        <f aca="false">(V23-V29)*usn_rate</f>
        <v>292632.734215931</v>
      </c>
      <c r="W30" s="9" t="n">
        <f aca="false">(W23-W29)*usn_rate</f>
        <v>283510.051297206</v>
      </c>
      <c r="X30" s="9" t="n">
        <f aca="false">(X23-X29)*usn_rate</f>
        <v>314904.857678669</v>
      </c>
      <c r="Y30" s="9" t="n">
        <f aca="false">(Y23-Y29)*usn_rate</f>
        <v>325317.483640084</v>
      </c>
      <c r="Z30" s="9" t="n">
        <f aca="false">(Z23-Z29)*usn_rate</f>
        <v>333556.949126105</v>
      </c>
    </row>
    <row r="31" customFormat="false" ht="15" hidden="false" customHeight="false" outlineLevel="0" collapsed="false">
      <c r="A31" s="10" t="s">
        <v>389</v>
      </c>
      <c r="B31" s="11" t="n">
        <f aca="false">SUM(C31:Z31)</f>
        <v>12265916.7015172</v>
      </c>
      <c r="C31" s="11" t="n">
        <f aca="false">C23-C29-C24-C26-C27-C30</f>
        <v>-93548.054</v>
      </c>
      <c r="D31" s="11" t="n">
        <f aca="false">D23-D29-D24-D26-D27-D30</f>
        <v>-4620.09791999999</v>
      </c>
      <c r="E31" s="11" t="n">
        <f aca="false">E23-E29-E24-E26-E27-E30</f>
        <v>-1191.77826559998</v>
      </c>
      <c r="F31" s="11" t="n">
        <f aca="false">F23-F29-F24-F26-F27-F30</f>
        <v>79234.7560129921</v>
      </c>
      <c r="G31" s="11" t="n">
        <f aca="false">G23-G29-G24-G26-G27-G30</f>
        <v>200391.350692082</v>
      </c>
      <c r="H31" s="11" t="n">
        <f aca="false">H23-H29-H24-H26-H27-H30</f>
        <v>269399.974443637</v>
      </c>
      <c r="I31" s="11" t="n">
        <f aca="false">I23-I29-I24-I26-I27-I30</f>
        <v>376916.497432582</v>
      </c>
      <c r="J31" s="11" t="n">
        <f aca="false">J23-J29-J24-J26-J27-J30</f>
        <v>392444.495454302</v>
      </c>
      <c r="K31" s="11" t="n">
        <f aca="false">K23-K29-K24-K26-K27-K30</f>
        <v>400461.78954522</v>
      </c>
      <c r="L31" s="11" t="n">
        <f aca="false">L23-L29-L24-L26-L27-L30</f>
        <v>511431.894673945</v>
      </c>
      <c r="M31" s="11" t="n">
        <f aca="false">M23-M29-M24-M26-M27-M30</f>
        <v>534781.516953741</v>
      </c>
      <c r="N31" s="11" t="n">
        <f aca="false">N23-N29-N24-N26-N27-N30</f>
        <v>557360.710004913</v>
      </c>
      <c r="O31" s="11" t="n">
        <f aca="false">O23-O29-O24-O26-O27-O30</f>
        <v>463807.906231432</v>
      </c>
      <c r="P31" s="11" t="n">
        <f aca="false">P23-P29-P24-P26-P27-P30</f>
        <v>606158.669042694</v>
      </c>
      <c r="Q31" s="11" t="n">
        <f aca="false">Q23-Q29-Q24-Q26-Q27-Q30</f>
        <v>481458.295784162</v>
      </c>
      <c r="R31" s="11" t="n">
        <f aca="false">R23-R29-R24-R26-R27-R30</f>
        <v>569048.291852754</v>
      </c>
      <c r="S31" s="11" t="n">
        <f aca="false">S23-S29-S24-S26-S27-S30</f>
        <v>682485.437919325</v>
      </c>
      <c r="T31" s="11" t="n">
        <f aca="false">T23-T29-T24-T26-T27-T30</f>
        <v>755373.889875309</v>
      </c>
      <c r="U31" s="11" t="n">
        <f aca="false">U23-U29-U24-U26-U27-U30</f>
        <v>855605.157851956</v>
      </c>
      <c r="V31" s="11" t="n">
        <f aca="false">V23-V29-V24-V26-V27-V30</f>
        <v>850947.234315197</v>
      </c>
      <c r="W31" s="11" t="n">
        <f aca="false">W23-W29-W24-W26-W27-W30</f>
        <v>808956.152761843</v>
      </c>
      <c r="X31" s="11" t="n">
        <f aca="false">X23-X29-X24-X26-X27-X30</f>
        <v>947840.03781742</v>
      </c>
      <c r="Y31" s="11" t="n">
        <f aca="false">Y23-Y29-Y24-Y26-Y27-Y30</f>
        <v>992933.368857591</v>
      </c>
      <c r="Z31" s="11" t="n">
        <f aca="false">Z23-Z29-Z24-Z26-Z27-Z30</f>
        <v>1028239.20417973</v>
      </c>
    </row>
    <row r="32" customFormat="false" ht="15" hidden="false" customHeight="false" outlineLevel="0" collapsed="false">
      <c r="A32" s="2" t="s">
        <v>390</v>
      </c>
      <c r="B32" s="29" t="n">
        <f aca="false">IF(B23=0,0,B31/B23)</f>
        <v>0.159061960565354</v>
      </c>
      <c r="C32" s="24" t="n">
        <f aca="false">IF(C23=0,0,C31/C23)</f>
        <v>-0.279516926140262</v>
      </c>
      <c r="D32" s="24" t="n">
        <f aca="false">IF(D23=0,0,D31/D23)</f>
        <v>-0.00709254435749024</v>
      </c>
      <c r="E32" s="24" t="n">
        <f aca="false">IF(E23=0,0,E31/E23)</f>
        <v>-0.00172817568164672</v>
      </c>
      <c r="F32" s="24" t="n">
        <f aca="false">IF(F23=0,0,F31/F23)</f>
        <v>0.0811469250616892</v>
      </c>
      <c r="G32" s="24" t="n">
        <f aca="false">IF(G23=0,0,G31/G23)</f>
        <v>0.142559985486729</v>
      </c>
      <c r="H32" s="24" t="n">
        <f aca="false">IF(H23=0,0,H31/H23)</f>
        <v>0.142809903055295</v>
      </c>
      <c r="I32" s="24" t="n">
        <f aca="false">IF(I23=0,0,I31/I23)</f>
        <v>0.16735564809087</v>
      </c>
      <c r="J32" s="24" t="n">
        <f aca="false">IF(J23=0,0,J31/J23)</f>
        <v>0.170308760362772</v>
      </c>
      <c r="K32" s="24" t="n">
        <f aca="false">IF(K23=0,0,K31/K23)</f>
        <v>0.17120632203867</v>
      </c>
      <c r="L32" s="24" t="n">
        <f aca="false">IF(L23=0,0,L31/L23)</f>
        <v>0.188719294419355</v>
      </c>
      <c r="M32" s="24" t="n">
        <f aca="false">IF(M23=0,0,M31/M23)</f>
        <v>0.176503156793843</v>
      </c>
      <c r="N32" s="24" t="n">
        <f aca="false">IF(N23=0,0,N31/N23)</f>
        <v>0.179401621000528</v>
      </c>
      <c r="O32" s="24" t="n">
        <f aca="false">IF(O23=0,0,O31/O23)</f>
        <v>0.140718522342787</v>
      </c>
      <c r="P32" s="24" t="n">
        <f aca="false">IF(P23=0,0,P31/P23)</f>
        <v>0.157182619605244</v>
      </c>
      <c r="Q32" s="24" t="n">
        <f aca="false">IF(Q23=0,0,Q31/Q23)</f>
        <v>0.142471159088719</v>
      </c>
      <c r="R32" s="24" t="n">
        <f aca="false">IF(R23=0,0,R31/R23)</f>
        <v>0.152730522547493</v>
      </c>
      <c r="S32" s="24" t="n">
        <f aca="false">IF(S23=0,0,S31/S23)</f>
        <v>0.163511421084294</v>
      </c>
      <c r="T32" s="24" t="n">
        <f aca="false">IF(T23=0,0,T31/T23)</f>
        <v>0.15943708849828</v>
      </c>
      <c r="U32" s="24" t="n">
        <f aca="false">IF(U23=0,0,U31/U23)</f>
        <v>0.166630261978381</v>
      </c>
      <c r="V32" s="24" t="n">
        <f aca="false">IF(V23=0,0,V31/V23)</f>
        <v>0.166165813188563</v>
      </c>
      <c r="W32" s="24" t="n">
        <f aca="false">IF(W23=0,0,W31/W23)</f>
        <v>0.163049125280028</v>
      </c>
      <c r="X32" s="24" t="n">
        <f aca="false">IF(X23=0,0,X31/X23)</f>
        <v>0.17199572046789</v>
      </c>
      <c r="Y32" s="24" t="n">
        <f aca="false">IF(Y23=0,0,Y31/Y23)</f>
        <v>0.174411313570157</v>
      </c>
      <c r="Z32" s="24" t="n">
        <f aca="false">IF(Z23=0,0,Z31/Z23)</f>
        <v>0.17615140714971</v>
      </c>
    </row>
    <row r="34" customFormat="false" ht="15" hidden="false" customHeight="false" outlineLevel="0" collapsed="false">
      <c r="A34" s="13" t="s">
        <v>391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customFormat="false" ht="15" hidden="false" customHeight="false" outlineLevel="0" collapsed="false">
      <c r="A35" s="2" t="s">
        <v>392</v>
      </c>
      <c r="B35" s="11" t="n">
        <f aca="false">SUM(C35:Z35)</f>
        <v>335000</v>
      </c>
      <c r="C35" s="9" t="n">
        <f aca="false">IF(C3=sc_capex2_month_O,capex2_total,0)</f>
        <v>0</v>
      </c>
      <c r="D35" s="9" t="n">
        <f aca="false">IF(D3=sc_capex2_month_O,capex2_total,0)</f>
        <v>0</v>
      </c>
      <c r="E35" s="9" t="n">
        <f aca="false">IF(E3=sc_capex2_month_O,capex2_total,0)</f>
        <v>0</v>
      </c>
      <c r="F35" s="9" t="n">
        <f aca="false">IF(F3=sc_capex2_month_O,capex2_total,0)</f>
        <v>335000</v>
      </c>
      <c r="G35" s="9" t="n">
        <f aca="false">IF(G3=sc_capex2_month_O,capex2_total,0)</f>
        <v>0</v>
      </c>
      <c r="H35" s="9" t="n">
        <f aca="false">IF(H3=sc_capex2_month_O,capex2_total,0)</f>
        <v>0</v>
      </c>
      <c r="I35" s="9" t="n">
        <f aca="false">IF(I3=sc_capex2_month_O,capex2_total,0)</f>
        <v>0</v>
      </c>
      <c r="J35" s="9" t="n">
        <f aca="false">IF(J3=sc_capex2_month_O,capex2_total,0)</f>
        <v>0</v>
      </c>
      <c r="K35" s="9" t="n">
        <f aca="false">IF(K3=sc_capex2_month_O,capex2_total,0)</f>
        <v>0</v>
      </c>
      <c r="L35" s="9" t="n">
        <f aca="false">IF(L3=sc_capex2_month_O,capex2_total,0)</f>
        <v>0</v>
      </c>
      <c r="M35" s="9" t="n">
        <f aca="false">IF(M3=sc_capex2_month_O,capex2_total,0)</f>
        <v>0</v>
      </c>
      <c r="N35" s="9" t="n">
        <f aca="false">IF(N3=sc_capex2_month_O,capex2_total,0)</f>
        <v>0</v>
      </c>
      <c r="O35" s="9" t="n">
        <f aca="false">IF(O3=sc_capex2_month_O,capex2_total,0)</f>
        <v>0</v>
      </c>
      <c r="P35" s="9" t="n">
        <f aca="false">IF(P3=sc_capex2_month_O,capex2_total,0)</f>
        <v>0</v>
      </c>
      <c r="Q35" s="9" t="n">
        <f aca="false">IF(Q3=sc_capex2_month_O,capex2_total,0)</f>
        <v>0</v>
      </c>
      <c r="R35" s="9" t="n">
        <f aca="false">IF(R3=sc_capex2_month_O,capex2_total,0)</f>
        <v>0</v>
      </c>
      <c r="S35" s="9" t="n">
        <f aca="false">IF(S3=sc_capex2_month_O,capex2_total,0)</f>
        <v>0</v>
      </c>
      <c r="T35" s="9" t="n">
        <f aca="false">IF(T3=sc_capex2_month_O,capex2_total,0)</f>
        <v>0</v>
      </c>
      <c r="U35" s="9" t="n">
        <f aca="false">IF(U3=sc_capex2_month_O,capex2_total,0)</f>
        <v>0</v>
      </c>
      <c r="V35" s="9" t="n">
        <f aca="false">IF(V3=sc_capex2_month_O,capex2_total,0)</f>
        <v>0</v>
      </c>
      <c r="W35" s="9" t="n">
        <f aca="false">IF(W3=sc_capex2_month_O,capex2_total,0)</f>
        <v>0</v>
      </c>
      <c r="X35" s="9" t="n">
        <f aca="false">IF(X3=sc_capex2_month_O,capex2_total,0)</f>
        <v>0</v>
      </c>
      <c r="Y35" s="9" t="n">
        <f aca="false">IF(Y3=sc_capex2_month_O,capex2_total,0)</f>
        <v>0</v>
      </c>
      <c r="Z35" s="9" t="n">
        <f aca="false">IF(Z3=sc_capex2_month_O,capex2_total,0)</f>
        <v>0</v>
      </c>
    </row>
    <row r="36" customFormat="false" ht="15" hidden="false" customHeight="false" outlineLevel="0" collapsed="false">
      <c r="A36" s="10" t="s">
        <v>393</v>
      </c>
      <c r="B36" s="11" t="n">
        <f aca="false">SUM(C36:Z36)</f>
        <v>11930916.7015172</v>
      </c>
      <c r="C36" s="11" t="n">
        <f aca="false">C31-C35</f>
        <v>-93548.054</v>
      </c>
      <c r="D36" s="11" t="n">
        <f aca="false">D31-D35</f>
        <v>-4620.09791999999</v>
      </c>
      <c r="E36" s="11" t="n">
        <f aca="false">E31-E35</f>
        <v>-1191.77826559998</v>
      </c>
      <c r="F36" s="11" t="n">
        <f aca="false">F31-F35</f>
        <v>-255765.243987008</v>
      </c>
      <c r="G36" s="11" t="n">
        <f aca="false">G31-G35</f>
        <v>200391.350692082</v>
      </c>
      <c r="H36" s="11" t="n">
        <f aca="false">H31-H35</f>
        <v>269399.974443637</v>
      </c>
      <c r="I36" s="11" t="n">
        <f aca="false">I31-I35</f>
        <v>376916.497432582</v>
      </c>
      <c r="J36" s="11" t="n">
        <f aca="false">J31-J35</f>
        <v>392444.495454302</v>
      </c>
      <c r="K36" s="11" t="n">
        <f aca="false">K31-K35</f>
        <v>400461.78954522</v>
      </c>
      <c r="L36" s="11" t="n">
        <f aca="false">L31-L35</f>
        <v>511431.894673945</v>
      </c>
      <c r="M36" s="11" t="n">
        <f aca="false">M31-M35</f>
        <v>534781.516953741</v>
      </c>
      <c r="N36" s="11" t="n">
        <f aca="false">N31-N35</f>
        <v>557360.710004913</v>
      </c>
      <c r="O36" s="11" t="n">
        <f aca="false">O31-O35</f>
        <v>463807.906231432</v>
      </c>
      <c r="P36" s="11" t="n">
        <f aca="false">P31-P35</f>
        <v>606158.669042694</v>
      </c>
      <c r="Q36" s="11" t="n">
        <f aca="false">Q31-Q35</f>
        <v>481458.295784162</v>
      </c>
      <c r="R36" s="11" t="n">
        <f aca="false">R31-R35</f>
        <v>569048.291852754</v>
      </c>
      <c r="S36" s="11" t="n">
        <f aca="false">S31-S35</f>
        <v>682485.437919325</v>
      </c>
      <c r="T36" s="11" t="n">
        <f aca="false">T31-T35</f>
        <v>755373.889875309</v>
      </c>
      <c r="U36" s="11" t="n">
        <f aca="false">U31-U35</f>
        <v>855605.157851956</v>
      </c>
      <c r="V36" s="11" t="n">
        <f aca="false">V31-V35</f>
        <v>850947.234315197</v>
      </c>
      <c r="W36" s="11" t="n">
        <f aca="false">W31-W35</f>
        <v>808956.152761843</v>
      </c>
      <c r="X36" s="11" t="n">
        <f aca="false">X31-X35</f>
        <v>947840.03781742</v>
      </c>
      <c r="Y36" s="11" t="n">
        <f aca="false">Y31-Y35</f>
        <v>992933.368857591</v>
      </c>
      <c r="Z36" s="11" t="n">
        <f aca="false">Z31-Z35</f>
        <v>1028239.20417973</v>
      </c>
    </row>
    <row r="37" customFormat="false" ht="15" hidden="false" customHeight="false" outlineLevel="0" collapsed="false">
      <c r="A37" s="2" t="s">
        <v>394</v>
      </c>
      <c r="C37" s="9" t="n">
        <f aca="false">C36</f>
        <v>-93548.054</v>
      </c>
      <c r="D37" s="9" t="n">
        <f aca="false">C37+D36</f>
        <v>-98168.15192</v>
      </c>
      <c r="E37" s="9" t="n">
        <f aca="false">D37+E36</f>
        <v>-99359.9301856</v>
      </c>
      <c r="F37" s="9" t="n">
        <f aca="false">E37+F36</f>
        <v>-355125.174172608</v>
      </c>
      <c r="G37" s="9" t="n">
        <f aca="false">F37+G36</f>
        <v>-154733.823480526</v>
      </c>
      <c r="H37" s="9" t="n">
        <f aca="false">G37+H36</f>
        <v>114666.150963111</v>
      </c>
      <c r="I37" s="9" t="n">
        <f aca="false">H37+I36</f>
        <v>491582.648395694</v>
      </c>
      <c r="J37" s="9" t="n">
        <f aca="false">I37+J36</f>
        <v>884027.143849995</v>
      </c>
      <c r="K37" s="9" t="n">
        <f aca="false">J37+K36</f>
        <v>1284488.93339522</v>
      </c>
      <c r="L37" s="9" t="n">
        <f aca="false">K37+L36</f>
        <v>1795920.82806916</v>
      </c>
      <c r="M37" s="9" t="n">
        <f aca="false">L37+M36</f>
        <v>2330702.3450229</v>
      </c>
      <c r="N37" s="9" t="n">
        <f aca="false">M37+N36</f>
        <v>2888063.05502781</v>
      </c>
      <c r="O37" s="9" t="n">
        <f aca="false">N37+O36</f>
        <v>3351870.96125925</v>
      </c>
      <c r="P37" s="9" t="n">
        <f aca="false">O37+P36</f>
        <v>3958029.63030194</v>
      </c>
      <c r="Q37" s="9" t="n">
        <f aca="false">P37+Q36</f>
        <v>4439487.9260861</v>
      </c>
      <c r="R37" s="9" t="n">
        <f aca="false">Q37+R36</f>
        <v>5008536.21793886</v>
      </c>
      <c r="S37" s="9" t="n">
        <f aca="false">R37+S36</f>
        <v>5691021.65585818</v>
      </c>
      <c r="T37" s="9" t="n">
        <f aca="false">S37+T36</f>
        <v>6446395.54573349</v>
      </c>
      <c r="U37" s="9" t="n">
        <f aca="false">T37+U36</f>
        <v>7302000.70358544</v>
      </c>
      <c r="V37" s="9" t="n">
        <f aca="false">U37+V36</f>
        <v>8152947.93790064</v>
      </c>
      <c r="W37" s="9" t="n">
        <f aca="false">V37+W36</f>
        <v>8961904.09066248</v>
      </c>
      <c r="X37" s="9" t="n">
        <f aca="false">W37+X36</f>
        <v>9909744.1284799</v>
      </c>
      <c r="Y37" s="9" t="n">
        <f aca="false">X37+Y36</f>
        <v>10902677.4973375</v>
      </c>
      <c r="Z37" s="9" t="n">
        <f aca="false">Y37+Z36</f>
        <v>11930916.7015172</v>
      </c>
    </row>
    <row r="38" customFormat="false" ht="15" hidden="false" customHeight="false" outlineLevel="0" collapsed="false">
      <c r="A38" s="10" t="s">
        <v>395</v>
      </c>
      <c r="C38" s="11" t="n">
        <f aca="false">-(capex_base+prelaunch_total)+C36</f>
        <v>-667548.054</v>
      </c>
      <c r="D38" s="11" t="n">
        <f aca="false">C38+D36</f>
        <v>-672168.15192</v>
      </c>
      <c r="E38" s="11" t="n">
        <f aca="false">D38+E36</f>
        <v>-673359.9301856</v>
      </c>
      <c r="F38" s="11" t="n">
        <f aca="false">E38+F36</f>
        <v>-929125.174172608</v>
      </c>
      <c r="G38" s="11" t="n">
        <f aca="false">F38+G36</f>
        <v>-728733.823480526</v>
      </c>
      <c r="H38" s="11" t="n">
        <f aca="false">G38+H36</f>
        <v>-459333.849036889</v>
      </c>
      <c r="I38" s="11" t="n">
        <f aca="false">H38+I36</f>
        <v>-82417.3516043066</v>
      </c>
      <c r="J38" s="11" t="n">
        <f aca="false">I38+J36</f>
        <v>310027.143849995</v>
      </c>
      <c r="K38" s="11" t="n">
        <f aca="false">J38+K36</f>
        <v>710488.933395215</v>
      </c>
      <c r="L38" s="11" t="n">
        <f aca="false">K38+L36</f>
        <v>1221920.82806916</v>
      </c>
      <c r="M38" s="11" t="n">
        <f aca="false">L38+M36</f>
        <v>1756702.3450229</v>
      </c>
      <c r="N38" s="11" t="n">
        <f aca="false">M38+N36</f>
        <v>2314063.05502781</v>
      </c>
      <c r="O38" s="11" t="n">
        <f aca="false">N38+O36</f>
        <v>2777870.96125925</v>
      </c>
      <c r="P38" s="11" t="n">
        <f aca="false">O38+P36</f>
        <v>3384029.63030194</v>
      </c>
      <c r="Q38" s="11" t="n">
        <f aca="false">P38+Q36</f>
        <v>3865487.9260861</v>
      </c>
      <c r="R38" s="11" t="n">
        <f aca="false">Q38+R36</f>
        <v>4434536.21793886</v>
      </c>
      <c r="S38" s="11" t="n">
        <f aca="false">R38+S36</f>
        <v>5117021.65585818</v>
      </c>
      <c r="T38" s="11" t="n">
        <f aca="false">S38+T36</f>
        <v>5872395.54573349</v>
      </c>
      <c r="U38" s="11" t="n">
        <f aca="false">T38+U36</f>
        <v>6728000.70358545</v>
      </c>
      <c r="V38" s="11" t="n">
        <f aca="false">U38+V36</f>
        <v>7578947.93790064</v>
      </c>
      <c r="W38" s="11" t="n">
        <f aca="false">V38+W36</f>
        <v>8387904.09066249</v>
      </c>
      <c r="X38" s="11" t="n">
        <f aca="false">W38+X36</f>
        <v>9335744.12847991</v>
      </c>
      <c r="Y38" s="11" t="n">
        <f aca="false">X38+Y36</f>
        <v>10328677.4973375</v>
      </c>
      <c r="Z38" s="11" t="n">
        <f aca="false">Y38+Z36</f>
        <v>11356916.7015172</v>
      </c>
    </row>
    <row r="39" customFormat="false" ht="15" hidden="false" customHeight="false" outlineLevel="0" collapsed="false">
      <c r="A39" s="2" t="s">
        <v>396</v>
      </c>
      <c r="C39" s="26" t="str">
        <f aca="false">IF(COUNTIF(C31:$Z$31,"&lt;0")=0,C3,"")</f>
        <v/>
      </c>
      <c r="D39" s="26" t="str">
        <f aca="false">IF(COUNTIF(D31:$Z$31,"&lt;0")=0,D3,"")</f>
        <v/>
      </c>
      <c r="E39" s="26" t="str">
        <f aca="false">IF(COUNTIF(E31:$Z$31,"&lt;0")=0,E3,"")</f>
        <v/>
      </c>
      <c r="F39" s="26" t="n">
        <f aca="false">IF(COUNTIF(F31:$Z$31,"&lt;0")=0,F3,"")</f>
        <v>4</v>
      </c>
      <c r="G39" s="26" t="n">
        <f aca="false">IF(COUNTIF(G31:$Z$31,"&lt;0")=0,G3,"")</f>
        <v>5</v>
      </c>
      <c r="H39" s="26" t="n">
        <f aca="false">IF(COUNTIF(H31:$Z$31,"&lt;0")=0,H3,"")</f>
        <v>6</v>
      </c>
      <c r="I39" s="26" t="n">
        <f aca="false">IF(COUNTIF(I31:$Z$31,"&lt;0")=0,I3,"")</f>
        <v>7</v>
      </c>
      <c r="J39" s="26" t="n">
        <f aca="false">IF(COUNTIF(J31:$Z$31,"&lt;0")=0,J3,"")</f>
        <v>8</v>
      </c>
      <c r="K39" s="26" t="n">
        <f aca="false">IF(COUNTIF(K31:$Z$31,"&lt;0")=0,K3,"")</f>
        <v>9</v>
      </c>
      <c r="L39" s="26" t="n">
        <f aca="false">IF(COUNTIF(L31:$Z$31,"&lt;0")=0,L3,"")</f>
        <v>10</v>
      </c>
      <c r="M39" s="26" t="n">
        <f aca="false">IF(COUNTIF(M31:$Z$31,"&lt;0")=0,M3,"")</f>
        <v>11</v>
      </c>
      <c r="N39" s="26" t="n">
        <f aca="false">IF(COUNTIF(N31:$Z$31,"&lt;0")=0,N3,"")</f>
        <v>12</v>
      </c>
      <c r="O39" s="26" t="n">
        <f aca="false">IF(COUNTIF(O31:$Z$31,"&lt;0")=0,O3,"")</f>
        <v>13</v>
      </c>
      <c r="P39" s="26" t="n">
        <f aca="false">IF(COUNTIF(P31:$Z$31,"&lt;0")=0,P3,"")</f>
        <v>14</v>
      </c>
      <c r="Q39" s="26" t="n">
        <f aca="false">IF(COUNTIF(Q31:$Z$31,"&lt;0")=0,Q3,"")</f>
        <v>15</v>
      </c>
      <c r="R39" s="26" t="n">
        <f aca="false">IF(COUNTIF(R31:$Z$31,"&lt;0")=0,R3,"")</f>
        <v>16</v>
      </c>
      <c r="S39" s="26" t="n">
        <f aca="false">IF(COUNTIF(S31:$Z$31,"&lt;0")=0,S3,"")</f>
        <v>17</v>
      </c>
      <c r="T39" s="26" t="n">
        <f aca="false">IF(COUNTIF(T31:$Z$31,"&lt;0")=0,T3,"")</f>
        <v>18</v>
      </c>
      <c r="U39" s="26" t="n">
        <f aca="false">IF(COUNTIF(U31:$Z$31,"&lt;0")=0,U3,"")</f>
        <v>19</v>
      </c>
      <c r="V39" s="26" t="n">
        <f aca="false">IF(COUNTIF(V31:$Z$31,"&lt;0")=0,V3,"")</f>
        <v>20</v>
      </c>
      <c r="W39" s="26" t="n">
        <f aca="false">IF(COUNTIF(W31:$Z$31,"&lt;0")=0,W3,"")</f>
        <v>21</v>
      </c>
      <c r="X39" s="26" t="n">
        <f aca="false">IF(COUNTIF(X31:$Z$31,"&lt;0")=0,X3,"")</f>
        <v>22</v>
      </c>
      <c r="Y39" s="26" t="n">
        <f aca="false">IF(COUNTIF(Y31:$Z$31,"&lt;0")=0,Y3,"")</f>
        <v>23</v>
      </c>
      <c r="Z39" s="26" t="n">
        <f aca="false">IF(COUNTIF(Z31:$Z$31,"&lt;0")=0,Z3,"")</f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2026-10-28T07:04:03Z</dcterms:created>
  <dc:creator>openpyxl</dc:creator>
  <dc:description/>
  <dc:language>en-US</dc:language>
  <cp:lastModifiedBy/>
  <dcterms:modified xsi:type="dcterms:W3CDTF">2026-10-28T07:04:03Z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